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u hinh &amp; Giai thich" sheetId="1" r:id="rId5"/>
    <sheet state="visible" name="Tinh toan" sheetId="2" r:id="rId6"/>
  </sheets>
  <definedNames>
    <definedName name="NGUONG_SPIKE">'Cau hinh &amp; Giai thich'!$C$7</definedName>
    <definedName name="MIN_LUOT">'Cau hinh &amp; Giai thich'!$C$8</definedName>
    <definedName name="NGUONG_HOT">'Cau hinh &amp; Giai thich'!$C$6</definedName>
    <definedName name="NGUONG_HUONG">'Cau hinh &amp; Giai thich'!$C$11</definedName>
  </definedNames>
  <calcPr/>
</workbook>
</file>

<file path=xl/sharedStrings.xml><?xml version="1.0" encoding="utf-8"?>
<sst xmlns="http://schemas.openxmlformats.org/spreadsheetml/2006/main" count="125" uniqueCount="120">
  <si>
    <t>Keyword \ Ngày (mới nhất bên phải →)</t>
  </si>
  <si>
    <t>TÍN HIỆU HÔM NAY — Bảng công thức</t>
  </si>
  <si>
    <t>-59</t>
  </si>
  <si>
    <t>Chỉnh 3 ô ĐỎ bên dưới → toàn bộ sheet 'Tinh toan' tự chạy lại.</t>
  </si>
  <si>
    <t>-58</t>
  </si>
  <si>
    <t>-57</t>
  </si>
  <si>
    <t>-56</t>
  </si>
  <si>
    <t>-55</t>
  </si>
  <si>
    <t>-54</t>
  </si>
  <si>
    <t>3 NGƯỠNG CẦN CHỐT</t>
  </si>
  <si>
    <t>-53</t>
  </si>
  <si>
    <t>-52</t>
  </si>
  <si>
    <t>-51</t>
  </si>
  <si>
    <t>-50</t>
  </si>
  <si>
    <t>-49</t>
  </si>
  <si>
    <t>-48</t>
  </si>
  <si>
    <t>-47</t>
  </si>
  <si>
    <t>Giá trị</t>
  </si>
  <si>
    <t>-46</t>
  </si>
  <si>
    <t>-45</t>
  </si>
  <si>
    <t>-44</t>
  </si>
  <si>
    <t>-43</t>
  </si>
  <si>
    <t>Ý nghĩa</t>
  </si>
  <si>
    <t>-42</t>
  </si>
  <si>
    <t>-41</t>
  </si>
  <si>
    <t>Bản chất</t>
  </si>
  <si>
    <t>-40</t>
  </si>
  <si>
    <t>-39</t>
  </si>
  <si>
    <t>Đặt tên filter</t>
  </si>
  <si>
    <t>-38</t>
  </si>
  <si>
    <t>-37</t>
  </si>
  <si>
    <t>-36</t>
  </si>
  <si>
    <t>-35</t>
  </si>
  <si>
    <t>-34</t>
  </si>
  <si>
    <t>Tăng bền ≥ ? thì gọi HOT</t>
  </si>
  <si>
    <t>-33</t>
  </si>
  <si>
    <t>-32</t>
  </si>
  <si>
    <t>-31</t>
  </si>
  <si>
    <t>-30</t>
  </si>
  <si>
    <t>-29</t>
  </si>
  <si>
    <t>-28</t>
  </si>
  <si>
    <t>-27</t>
  </si>
  <si>
    <t>-26</t>
  </si>
  <si>
    <t>-25</t>
  </si>
  <si>
    <t>-24</t>
  </si>
  <si>
    <t>-23</t>
  </si>
  <si>
    <t>-22</t>
  </si>
  <si>
    <t>-21</t>
  </si>
  <si>
    <t>-20</t>
  </si>
  <si>
    <t>-19</t>
  </si>
  <si>
    <t>-18</t>
  </si>
  <si>
    <t>-17</t>
  </si>
  <si>
    <t>-16</t>
  </si>
  <si>
    <t>-15</t>
  </si>
  <si>
    <t>% (0.25 = 25%). Tăng bền vượt mức này → coi là đáng nghiên cứu.</t>
  </si>
  <si>
    <t>-14</t>
  </si>
  <si>
    <t>-13</t>
  </si>
  <si>
    <t>-12</t>
  </si>
  <si>
    <t>Nếu M_bền ≥ NGƯỠNG_HOT → keyword được xếp loại "Hot"
Gợi ý khởi đầu: +25%</t>
  </si>
  <si>
    <t>-11</t>
  </si>
  <si>
    <t>-10</t>
  </si>
  <si>
    <t>-9</t>
  </si>
  <si>
    <t>Gọi HOT khi TĂNG ĐỀU (4 tuần) ≥</t>
  </si>
  <si>
    <t>-8</t>
  </si>
  <si>
    <t>-7</t>
  </si>
  <si>
    <t>Vọt ngắn ≥ ? thì gọi MỚI NỔI</t>
  </si>
  <si>
    <t>-6</t>
  </si>
  <si>
    <t>-5</t>
  </si>
  <si>
    <t>% (1.00 = 100% = gấp đôi). Hôm nay vọt vượt mức này so 7 ngày trước.</t>
  </si>
  <si>
    <t>-4</t>
  </si>
  <si>
    <t>Nếu M_ngắn ≥ NGƯỠNG_SPIKE → keyword được xếp loại "Mới nổi"
Gợi ý khởi đầu: +100% (tức gấp đôi so với 7 ngày trước)</t>
  </si>
  <si>
    <t>-3</t>
  </si>
  <si>
    <t>Gọi MỚI NỔI khi BỖNG VỌT (so tuần trước) ≥</t>
  </si>
  <si>
    <t>-2</t>
  </si>
  <si>
    <t>Nhỏ hơn ? lượt/ngày thì BỎ</t>
  </si>
  <si>
    <t>-1</t>
  </si>
  <si>
    <t>Lượt tìm/ngày tối thiểu. Dưới mức này thị trường quá nhỏ, bỏ qua.</t>
  </si>
  <si>
    <t>Số Lượt tìm keyword tối thiểu trên ngày</t>
  </si>
  <si>
    <t>-0</t>
  </si>
  <si>
    <t>Bỏ qua sản phẩm có ít hơn ___ lượt tìm/ngày</t>
  </si>
  <si>
    <t>Ngưỡng phụ (ít khi đổi)</t>
  </si>
  <si>
    <t>L (lượt/ngày)</t>
  </si>
  <si>
    <t>M_ngắn</t>
  </si>
  <si>
    <t>M_bền</t>
  </si>
  <si>
    <t>Hướng: lên/xuống khi vượt ±</t>
  </si>
  <si>
    <t>YoY</t>
  </si>
  <si>
    <t>Hướng</t>
  </si>
  <si>
    <t>Loại</t>
  </si>
  <si>
    <t>Độ nóng</t>
  </si>
  <si>
    <t>TB 4 tuần năm ngoái</t>
  </si>
  <si>
    <t>custom tumblers</t>
  </si>
  <si>
    <t>Tăng &gt;15% → lên. Từ −15% đến +15% → đi ngang. Giảm &gt;15% → xuống.</t>
  </si>
  <si>
    <t xml:space="preserve">Bỏ trend đi ngang, đi xuống </t>
  </si>
  <si>
    <t>Coi là đang LÊN / XUỐNG khi đổi quá ±</t>
  </si>
  <si>
    <t>CÔNG THỨC (lời + toán)</t>
  </si>
  <si>
    <t>Nguyên Lý Tính</t>
  </si>
  <si>
    <t>Tăng nhanh (ngắn)</t>
  </si>
  <si>
    <t>M_ngắn = ( V(0) − TB(−7→−1) ) / TB(−7→−1) × 100%</t>
  </si>
  <si>
    <t>Tăng bền (dài)</t>
  </si>
  <si>
    <t>M_bền = ( TB(−28→−1) − TB(−56→−29) ) / TB(−56→−29) × 100%</t>
  </si>
  <si>
    <t>So năm ngoái</t>
  </si>
  <si>
    <t>YoY = ( TB(−28→−1) − TB(−393→−366) ) / TB(−393→−366) × 100%</t>
  </si>
  <si>
    <t>Độ lớn</t>
  </si>
  <si>
    <t>L</t>
  </si>
  <si>
    <t>Lượt tìm/ngày gần nhất (trung bình 7 ngày) — thị trường nhu cầu to hay nhỏ.</t>
  </si>
  <si>
    <t>MỚI NỔI</t>
  </si>
  <si>
    <t>ĐẬU khi TẤT CẢ đúng:
  M_ngắn        ≥ +100%          (vọt gấp đôi so 7 ngày trước)
  V(0)          ≥ SÀN_LƯỢT       (spike phải từ nền đủ lớn, vd ≥ 200 lượt/ngày)
  giữ_liên_tục  ≥ 2 ngày         (V(0) và V(−1) đều vượt, không phải 1 điểm nhiễu)
Nhãn: luôn kèm "chưa xác nhận — theo dõi 7 ngày"</t>
  </si>
  <si>
    <t>Hôm nay vọt gấp đôi (&gt;100%) so với tuần trước, giữ ít nhất 2 ngày, và lượt tìm phải đủ lớn (không tính vọt từ nền tí xíu). → gắn nhãn "chưa chắc, theo dõi thêm".</t>
  </si>
  <si>
    <t>KEYWORD HOT / SẢN PHẨM HOT</t>
  </si>
  <si>
    <t>ĐẬU khi TẤT CẢ đúng:
  L (độ lớn)   ≥ MIN_LƯỢT       (thị trường đủ to, vd ≥ 1.000 lượt/tháng)
  M_bền        ≥ +25%
  ΔV           ≥ MIN_TĂNG_LƯỢT  (tăng đủ nhiều lượt thật, chống nền nhỏ)
  dốc bền      ≥ 8 tuần         (đa số tuần cao hơn tuần trước, không răng cưa)</t>
  </si>
  <si>
    <r>
      <rPr>
        <rFont val="Arial"/>
        <b/>
        <color theme="1"/>
        <sz val="11.0"/>
      </rPr>
      <t>Keyword hot:</t>
    </r>
    <r>
      <rPr>
        <rFont val="Arial"/>
        <color theme="1"/>
        <sz val="11.0"/>
      </rPr>
      <t xml:space="preserve">
 Một cụm từ, tăng bền &gt;25%, lượt tìm đủ lớn, tăng nhiều lượt thật (không phải %-ảo). Nếu năm ngoái cũng dương → nóng thật; nếu không → chỉ ấm. 
</t>
    </r>
    <r>
      <rPr>
        <rFont val="Arial"/>
        <b/>
        <color theme="1"/>
        <sz val="11.0"/>
      </rPr>
      <t>Sản phẩm hot:</t>
    </r>
    <r>
      <rPr>
        <rFont val="Arial"/>
        <color theme="1"/>
        <sz val="11.0"/>
      </rPr>
      <t xml:space="preserve"> 
Giống Keyword hot, nhưng tính cho cả nhóm keyword của một sản phẩm gộp lại, không phải một từ lẻ.</t>
    </r>
  </si>
  <si>
    <t>hot  🔥 : M_bền lớn  VÀ  YoY &gt; 0        (sóng thật, không phải mùa lặp)
warm 🟡 : đậu điều kiện chính nhưng YoY ≈ 0  HOẶC  dốc chưa thật bền</t>
  </si>
  <si>
    <t>M_bền ≥ +15% → lên; ≤ −15% → xuống; giữa → đi ngang.</t>
  </si>
  <si>
    <t>3 luật chống giả</t>
  </si>
  <si>
    <t>1) Quá nhỏ (L&lt;MIN) → bỏ.  2) Đứng im (M_bền&lt;ngưỡng) → bỏ.  3) YoY≈0 → hạ bậc.</t>
  </si>
  <si>
    <t>Ba luật chống tín hiệu giả
Quá nhỏ thì bỏ, dù % đẹp tới đâu.
Đứng im thì bỏ, dù thị trường to tới đâu.
Tăng mà năm ngoái cũng vậy → chỉ là mùa, hạ bậc.</t>
  </si>
  <si>
    <t>personalized laundry bags</t>
  </si>
  <si>
    <t>christmas suncatcher</t>
  </si>
  <si>
    <t>Ghi chú: 3 dòng là DỮ LIỆU MẪU. Thay lượt tìm thật vào 60 ô mỗi dòng; cột năng-lượng bên phải tự tính.</t>
  </si>
  <si>
    <t>Cột 'TB 4 tuần năm ngoái' (xám, bên phải) là đầu vào cho YoY — điền lượt TB cùng kỳ năm ngoái.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</si>
</sst>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color theme="1"/>
      <name val="Arial"/>
    </font>
    <font>
      <b/>
      <sz val="11.0"/>
      <color rgb="FFFFFFFF"/>
      <name val="Arial"/>
    </font>
    <font>
      <b/>
      <sz val="14.0"/>
      <color theme="1"/>
      <name val="Arial"/>
    </font>
    <font>
      <sz val="8.0"/>
      <color rgb="FFFFFFFF"/>
      <name val="Arial"/>
    </font>
    <font>
      <i/>
      <sz val="10.0"/>
      <color rgb="FF5F6368"/>
      <name val="Arial"/>
    </font>
    <font>
      <b/>
      <sz val="14.0"/>
      <color rgb="FFFFFFFF"/>
      <name val="Calibri"/>
    </font>
    <font>
      <sz val="10.0"/>
      <color theme="1"/>
      <name val="Arial"/>
    </font>
    <font>
      <b/>
      <sz val="11.0"/>
      <color rgb="FFC5221F"/>
      <name val="Arial"/>
    </font>
    <font>
      <sz val="11.0"/>
      <color rgb="FF000000"/>
      <name val="Calibri"/>
    </font>
    <font>
      <b/>
      <sz val="10.0"/>
      <color theme="1"/>
      <name val="Arial"/>
    </font>
    <font>
      <i/>
      <sz val="8.0"/>
      <color rgb="FF5F6368"/>
      <name val="Arial"/>
    </font>
    <font>
      <sz val="8.0"/>
      <color theme="1"/>
      <name val="Arial"/>
    </font>
    <font>
      <sz val="11.0"/>
      <color theme="1"/>
      <name val="Calibri"/>
    </font>
    <font>
      <b/>
      <sz val="13.0"/>
      <color rgb="FFFFFFFF"/>
      <name val="Arial"/>
    </font>
    <font>
      <i/>
      <sz val="10.0"/>
      <color rgb="FF185FA5"/>
      <name val="Arial"/>
    </font>
    <font>
      <sz val="11.0"/>
      <color theme="1"/>
      <name val="Arial"/>
    </font>
    <font>
      <sz val="9.0"/>
      <color rgb="FF5F636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6522"/>
        <bgColor rgb="FFF26522"/>
      </patternFill>
    </fill>
    <fill>
      <patternFill patternType="solid">
        <fgColor rgb="FFFCE8E6"/>
        <bgColor rgb="FFFCE8E6"/>
      </patternFill>
    </fill>
  </fills>
  <borders count="3">
    <border/>
    <border>
      <left/>
      <right/>
      <top/>
      <bottom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0" xfId="0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readingOrder="0" shrinkToFit="0" vertical="bottom" wrapText="0"/>
    </xf>
    <xf borderId="2" fillId="0" fontId="7" numFmtId="0" xfId="0" applyBorder="1" applyFont="1"/>
    <xf borderId="2" fillId="3" fontId="8" numFmtId="9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readingOrder="0" vertical="bottom"/>
    </xf>
    <xf borderId="2" fillId="3" fontId="8" numFmtId="1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readingOrder="0" shrinkToFit="0" vertical="bottom" wrapText="0"/>
    </xf>
    <xf borderId="0" fillId="0" fontId="10" numFmtId="0" xfId="0" applyFont="1"/>
    <xf borderId="0" fillId="0" fontId="11" numFmtId="0" xfId="0" applyFont="1"/>
    <xf borderId="2" fillId="0" fontId="7" numFmtId="9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vertical="center"/>
    </xf>
    <xf borderId="0" fillId="0" fontId="1" numFmtId="0" xfId="0" applyAlignment="1" applyFont="1">
      <alignment readingOrder="0" shrinkToFit="0" wrapText="1"/>
    </xf>
    <xf borderId="1" fillId="2" fontId="13" numFmtId="0" xfId="0" applyBorder="1" applyFill="1" applyFont="1"/>
    <xf borderId="0" fillId="2" fontId="14" numFmtId="0" xfId="0" applyAlignment="1" applyFill="1" applyFont="1">
      <alignment readingOrder="0" shrinkToFit="0" wrapText="1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6" numFmtId="0" xfId="0" applyAlignment="1" applyFont="1">
      <alignment readingOrder="0" shrinkToFit="0" wrapText="1"/>
    </xf>
    <xf borderId="0" fillId="0" fontId="7" numFmtId="1" xfId="0" applyAlignment="1" applyFont="1" applyNumberFormat="1">
      <alignment horizontal="center" vertical="center"/>
    </xf>
    <xf borderId="0" fillId="0" fontId="16" numFmtId="0" xfId="0" applyAlignment="1" applyFont="1">
      <alignment shrinkToFit="0" wrapText="1"/>
    </xf>
    <xf borderId="0" fillId="0" fontId="7" numFmtId="9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14.0"/>
    <col customWidth="1" min="4" max="4" width="60.0"/>
    <col customWidth="1" min="5" max="6" width="91.57"/>
  </cols>
  <sheetData>
    <row r="1">
      <c r="E1" s="1"/>
      <c r="F1" s="1"/>
    </row>
    <row r="2">
      <c r="B2" s="3" t="s">
        <v>1</v>
      </c>
      <c r="E2" s="1"/>
      <c r="F2" s="1"/>
    </row>
    <row r="3">
      <c r="B3" s="5" t="s">
        <v>3</v>
      </c>
      <c r="E3" s="1"/>
      <c r="F3" s="1"/>
    </row>
    <row r="4">
      <c r="E4" s="1"/>
      <c r="F4" s="1"/>
    </row>
    <row r="5">
      <c r="B5" s="6" t="s">
        <v>9</v>
      </c>
      <c r="C5" s="7" t="s">
        <v>17</v>
      </c>
      <c r="D5" s="6" t="s">
        <v>22</v>
      </c>
      <c r="E5" s="8" t="s">
        <v>25</v>
      </c>
      <c r="F5" s="8" t="s">
        <v>28</v>
      </c>
    </row>
    <row r="6">
      <c r="B6" s="9" t="s">
        <v>34</v>
      </c>
      <c r="C6" s="10">
        <v>0.25</v>
      </c>
      <c r="D6" s="11" t="s">
        <v>54</v>
      </c>
      <c r="E6" s="12" t="s">
        <v>58</v>
      </c>
      <c r="F6" s="12" t="s">
        <v>62</v>
      </c>
    </row>
    <row r="7">
      <c r="B7" s="9" t="s">
        <v>65</v>
      </c>
      <c r="C7" s="10">
        <v>1.0</v>
      </c>
      <c r="D7" s="11" t="s">
        <v>68</v>
      </c>
      <c r="E7" s="12" t="s">
        <v>70</v>
      </c>
      <c r="F7" s="12" t="s">
        <v>72</v>
      </c>
    </row>
    <row r="8">
      <c r="B8" s="9" t="s">
        <v>74</v>
      </c>
      <c r="C8" s="13">
        <v>150.0</v>
      </c>
      <c r="D8" s="11" t="s">
        <v>76</v>
      </c>
      <c r="E8" s="14" t="s">
        <v>77</v>
      </c>
      <c r="F8" s="14" t="s">
        <v>79</v>
      </c>
    </row>
    <row r="9">
      <c r="E9" s="1"/>
      <c r="F9" s="1"/>
    </row>
    <row r="10">
      <c r="B10" s="15" t="s">
        <v>80</v>
      </c>
      <c r="E10" s="1"/>
      <c r="F10" s="1"/>
    </row>
    <row r="11">
      <c r="B11" s="9" t="s">
        <v>84</v>
      </c>
      <c r="C11" s="17">
        <v>0.15</v>
      </c>
      <c r="D11" s="11" t="s">
        <v>91</v>
      </c>
      <c r="E11" s="20" t="s">
        <v>92</v>
      </c>
      <c r="F11" s="20" t="s">
        <v>93</v>
      </c>
    </row>
    <row r="12">
      <c r="E12" s="1"/>
      <c r="F12" s="1"/>
    </row>
    <row r="13">
      <c r="E13" s="1"/>
      <c r="F13" s="1"/>
    </row>
    <row r="14">
      <c r="B14" s="6" t="s">
        <v>94</v>
      </c>
      <c r="C14" s="21"/>
      <c r="D14" s="21"/>
      <c r="E14" s="22" t="s">
        <v>95</v>
      </c>
      <c r="F14" s="22"/>
    </row>
    <row r="15">
      <c r="B15" s="18" t="s">
        <v>96</v>
      </c>
      <c r="C15" s="23" t="s">
        <v>82</v>
      </c>
      <c r="D15" s="24" t="s">
        <v>97</v>
      </c>
      <c r="E15" s="1"/>
      <c r="F15" s="1"/>
    </row>
    <row r="16">
      <c r="B16" s="18" t="s">
        <v>98</v>
      </c>
      <c r="C16" s="23" t="s">
        <v>83</v>
      </c>
      <c r="D16" s="24" t="s">
        <v>99</v>
      </c>
      <c r="E16" s="1"/>
      <c r="F16" s="1"/>
    </row>
    <row r="17">
      <c r="B17" s="18" t="s">
        <v>100</v>
      </c>
      <c r="C17" s="23" t="s">
        <v>85</v>
      </c>
      <c r="D17" s="24" t="s">
        <v>101</v>
      </c>
      <c r="E17" s="1"/>
      <c r="F17" s="1"/>
    </row>
    <row r="18">
      <c r="B18" s="18" t="s">
        <v>102</v>
      </c>
      <c r="C18" s="23" t="s">
        <v>103</v>
      </c>
      <c r="D18" s="25" t="s">
        <v>104</v>
      </c>
      <c r="E18" s="1"/>
      <c r="F18" s="1"/>
    </row>
    <row r="19">
      <c r="B19" s="25"/>
      <c r="C19" s="23"/>
      <c r="D19" s="25"/>
      <c r="E19" s="1"/>
      <c r="F19" s="1"/>
    </row>
    <row r="20">
      <c r="B20" s="18" t="s">
        <v>105</v>
      </c>
      <c r="C20" s="23"/>
      <c r="D20" s="24" t="s">
        <v>106</v>
      </c>
      <c r="E20" s="1" t="s">
        <v>107</v>
      </c>
      <c r="F20" s="1"/>
    </row>
    <row r="21" ht="15.75" hidden="1" customHeight="1">
      <c r="B21" s="18" t="s">
        <v>108</v>
      </c>
      <c r="C21" s="23"/>
      <c r="D21" s="24" t="s">
        <v>109</v>
      </c>
      <c r="E21" s="26" t="s">
        <v>110</v>
      </c>
      <c r="F21" s="26"/>
    </row>
    <row r="22" ht="15.75" customHeight="1">
      <c r="B22" s="18" t="s">
        <v>88</v>
      </c>
      <c r="C22" s="23"/>
      <c r="D22" s="24" t="s">
        <v>111</v>
      </c>
      <c r="E22" s="1"/>
      <c r="F22" s="1"/>
    </row>
    <row r="23" ht="15.75" customHeight="1">
      <c r="B23" s="18" t="s">
        <v>86</v>
      </c>
      <c r="C23" s="23"/>
      <c r="D23" s="25" t="s">
        <v>112</v>
      </c>
      <c r="E23" s="1"/>
      <c r="F23" s="1"/>
    </row>
    <row r="24" ht="15.75" customHeight="1">
      <c r="B24" s="18" t="s">
        <v>113</v>
      </c>
      <c r="C24" s="23"/>
      <c r="D24" s="25" t="s">
        <v>114</v>
      </c>
      <c r="E24" s="28" t="s">
        <v>115</v>
      </c>
      <c r="F24" s="28"/>
    </row>
    <row r="25" ht="15.75" customHeight="1">
      <c r="E25" s="1"/>
      <c r="F25" s="1"/>
    </row>
    <row r="26" ht="15.75" customHeight="1">
      <c r="E26" s="1"/>
      <c r="F26" s="1"/>
    </row>
    <row r="27" ht="15.75" customHeight="1">
      <c r="E27" s="1"/>
      <c r="F27" s="1"/>
    </row>
    <row r="28" ht="15.75" customHeight="1">
      <c r="E28" s="1"/>
      <c r="F28" s="1"/>
    </row>
    <row r="29" ht="15.75" customHeight="1">
      <c r="E29" s="1"/>
      <c r="F29" s="1"/>
    </row>
    <row r="30" ht="15.75" customHeight="1">
      <c r="E30" s="1"/>
      <c r="F30" s="1"/>
    </row>
    <row r="31" ht="15.75" customHeight="1">
      <c r="E31" s="1"/>
      <c r="F31" s="1"/>
    </row>
    <row r="32" ht="15.75" customHeight="1">
      <c r="E32" s="1"/>
      <c r="F32" s="1"/>
    </row>
    <row r="33" ht="15.75" customHeight="1">
      <c r="E33" s="1"/>
      <c r="F33" s="1"/>
    </row>
    <row r="34" ht="15.75" customHeight="1">
      <c r="E34" s="1"/>
      <c r="F34" s="1"/>
    </row>
    <row r="35" ht="15.75" customHeight="1">
      <c r="E35" s="1"/>
      <c r="F35" s="1"/>
    </row>
    <row r="36" ht="15.75" customHeight="1">
      <c r="E36" s="1"/>
      <c r="F36" s="1"/>
    </row>
    <row r="37" ht="15.75" customHeight="1">
      <c r="E37" s="1"/>
      <c r="F37" s="1"/>
    </row>
    <row r="38" ht="15.75" customHeight="1">
      <c r="E38" s="1"/>
      <c r="F38" s="1"/>
    </row>
    <row r="39" ht="15.75" customHeight="1">
      <c r="E39" s="1"/>
      <c r="F39" s="1"/>
    </row>
    <row r="40" ht="15.75" customHeight="1">
      <c r="E40" s="1"/>
      <c r="F40" s="1"/>
    </row>
    <row r="41" ht="15.75" customHeight="1">
      <c r="E41" s="1"/>
      <c r="F41" s="1"/>
    </row>
    <row r="42" ht="15.75" customHeight="1">
      <c r="E42" s="1"/>
      <c r="F42" s="1"/>
    </row>
    <row r="43" ht="15.75" customHeight="1">
      <c r="E43" s="1"/>
      <c r="F43" s="1"/>
    </row>
    <row r="44" ht="15.75" customHeight="1">
      <c r="E44" s="1"/>
      <c r="F44" s="1"/>
    </row>
    <row r="45" ht="15.75" customHeight="1">
      <c r="E45" s="1"/>
      <c r="F45" s="1"/>
    </row>
    <row r="46" ht="15.75" customHeight="1">
      <c r="E46" s="1"/>
      <c r="F46" s="1"/>
    </row>
    <row r="47" ht="15.75" customHeight="1">
      <c r="E47" s="1"/>
      <c r="F47" s="1"/>
    </row>
    <row r="48" ht="15.75" customHeight="1">
      <c r="E48" s="1"/>
      <c r="F48" s="1"/>
    </row>
    <row r="49" ht="15.75" customHeight="1">
      <c r="E49" s="1"/>
      <c r="F49" s="1"/>
    </row>
    <row r="50" ht="15.75" customHeight="1">
      <c r="E50" s="1"/>
      <c r="F50" s="1"/>
    </row>
    <row r="51" ht="15.75" customHeight="1">
      <c r="E51" s="1"/>
      <c r="F51" s="1"/>
    </row>
    <row r="52" ht="15.75" customHeight="1">
      <c r="E52" s="1"/>
      <c r="F52" s="1"/>
    </row>
    <row r="53" ht="15.75" customHeight="1">
      <c r="E53" s="1"/>
      <c r="F53" s="1"/>
    </row>
    <row r="54" ht="15.75" customHeight="1">
      <c r="E54" s="1"/>
      <c r="F54" s="1"/>
    </row>
    <row r="55" ht="15.75" customHeight="1">
      <c r="E55" s="1"/>
      <c r="F55" s="1"/>
    </row>
    <row r="56" ht="15.75" customHeight="1">
      <c r="E56" s="1"/>
      <c r="F56" s="1"/>
    </row>
    <row r="57" ht="15.75" customHeight="1">
      <c r="E57" s="1"/>
      <c r="F57" s="1"/>
    </row>
    <row r="58" ht="15.75" customHeight="1">
      <c r="E58" s="1"/>
      <c r="F58" s="1"/>
    </row>
    <row r="59" ht="15.75" customHeight="1">
      <c r="E59" s="1"/>
      <c r="F59" s="1"/>
    </row>
    <row r="60" ht="15.75" customHeight="1">
      <c r="E60" s="1"/>
      <c r="F60" s="1"/>
    </row>
    <row r="61" ht="15.75" customHeight="1">
      <c r="E61" s="1"/>
      <c r="F61" s="1"/>
    </row>
    <row r="62" ht="15.75" customHeight="1">
      <c r="E62" s="1"/>
      <c r="F62" s="1"/>
    </row>
    <row r="63" ht="15.75" customHeight="1">
      <c r="E63" s="1"/>
      <c r="F63" s="1"/>
    </row>
    <row r="64" ht="15.75" customHeight="1">
      <c r="E64" s="1"/>
      <c r="F64" s="1"/>
    </row>
    <row r="65" ht="15.75" customHeight="1">
      <c r="E65" s="1"/>
      <c r="F65" s="1"/>
    </row>
    <row r="66" ht="15.75" customHeight="1">
      <c r="E66" s="1"/>
      <c r="F66" s="1"/>
    </row>
    <row r="67" ht="15.75" customHeight="1">
      <c r="E67" s="1"/>
      <c r="F67" s="1"/>
    </row>
    <row r="68" ht="15.75" customHeight="1">
      <c r="E68" s="1"/>
      <c r="F68" s="1"/>
    </row>
    <row r="69" ht="15.75" customHeight="1">
      <c r="E69" s="1"/>
      <c r="F69" s="1"/>
    </row>
    <row r="70" ht="15.75" customHeight="1">
      <c r="E70" s="1"/>
      <c r="F70" s="1"/>
    </row>
    <row r="71" ht="15.75" customHeight="1">
      <c r="E71" s="1"/>
      <c r="F71" s="1"/>
    </row>
    <row r="72" ht="15.75" customHeight="1">
      <c r="E72" s="1"/>
      <c r="F72" s="1"/>
    </row>
    <row r="73" ht="15.75" customHeight="1">
      <c r="E73" s="1"/>
      <c r="F73" s="1"/>
    </row>
    <row r="74" ht="15.75" customHeight="1">
      <c r="E74" s="1"/>
      <c r="F74" s="1"/>
    </row>
    <row r="75" ht="15.75" customHeight="1">
      <c r="E75" s="1"/>
      <c r="F75" s="1"/>
    </row>
    <row r="76" ht="15.75" customHeight="1">
      <c r="E76" s="1"/>
      <c r="F76" s="1"/>
    </row>
    <row r="77" ht="15.75" customHeight="1">
      <c r="E77" s="1"/>
      <c r="F77" s="1"/>
    </row>
    <row r="78" ht="15.75" customHeight="1">
      <c r="E78" s="1"/>
      <c r="F78" s="1"/>
    </row>
    <row r="79" ht="15.75" customHeight="1">
      <c r="E79" s="1"/>
      <c r="F79" s="1"/>
    </row>
    <row r="80" ht="15.75" customHeight="1">
      <c r="E80" s="1"/>
      <c r="F80" s="1"/>
    </row>
    <row r="81" ht="15.75" customHeight="1">
      <c r="E81" s="1"/>
      <c r="F81" s="1"/>
    </row>
    <row r="82" ht="15.75" customHeight="1">
      <c r="E82" s="1"/>
      <c r="F82" s="1"/>
    </row>
    <row r="83" ht="15.75" customHeight="1">
      <c r="E83" s="1"/>
      <c r="F83" s="1"/>
    </row>
    <row r="84" ht="15.75" customHeight="1">
      <c r="E84" s="1"/>
      <c r="F84" s="1"/>
    </row>
    <row r="85" ht="15.75" customHeight="1">
      <c r="E85" s="1"/>
      <c r="F85" s="1"/>
    </row>
    <row r="86" ht="15.75" customHeight="1">
      <c r="E86" s="1"/>
      <c r="F86" s="1"/>
    </row>
    <row r="87" ht="15.75" customHeight="1">
      <c r="E87" s="1"/>
      <c r="F87" s="1"/>
    </row>
    <row r="88" ht="15.75" customHeight="1">
      <c r="E88" s="1"/>
      <c r="F88" s="1"/>
    </row>
    <row r="89" ht="15.75" customHeight="1">
      <c r="E89" s="1"/>
      <c r="F89" s="1"/>
    </row>
    <row r="90" ht="15.75" customHeight="1">
      <c r="E90" s="1"/>
      <c r="F90" s="1"/>
    </row>
    <row r="91" ht="15.75" customHeight="1">
      <c r="E91" s="1"/>
      <c r="F91" s="1"/>
    </row>
    <row r="92" ht="15.75" customHeight="1">
      <c r="E92" s="1"/>
      <c r="F92" s="1"/>
    </row>
    <row r="93" ht="15.75" customHeight="1">
      <c r="E93" s="1"/>
      <c r="F93" s="1"/>
    </row>
    <row r="94" ht="15.75" customHeight="1">
      <c r="E94" s="1"/>
      <c r="F94" s="1"/>
    </row>
    <row r="95" ht="15.75" customHeight="1">
      <c r="E95" s="1"/>
      <c r="F95" s="1"/>
    </row>
    <row r="96" ht="15.75" customHeight="1">
      <c r="E96" s="1"/>
      <c r="F96" s="1"/>
    </row>
    <row r="97" ht="15.75" customHeight="1">
      <c r="E97" s="1"/>
      <c r="F97" s="1"/>
    </row>
    <row r="98" ht="15.75" customHeight="1">
      <c r="E98" s="1"/>
      <c r="F98" s="1"/>
    </row>
    <row r="99" ht="15.75" customHeight="1">
      <c r="E99" s="1"/>
      <c r="F99" s="1"/>
    </row>
    <row r="100" ht="15.75" customHeight="1">
      <c r="E100" s="1"/>
      <c r="F100" s="1"/>
    </row>
    <row r="101" ht="15.75" customHeight="1">
      <c r="E101" s="1"/>
      <c r="F101" s="1"/>
    </row>
    <row r="102" ht="15.75" customHeight="1">
      <c r="E102" s="1"/>
      <c r="F102" s="1"/>
    </row>
    <row r="103" ht="15.75" customHeight="1">
      <c r="E103" s="1"/>
      <c r="F103" s="1"/>
    </row>
    <row r="104" ht="15.75" customHeight="1">
      <c r="E104" s="1"/>
      <c r="F104" s="1"/>
    </row>
    <row r="105" ht="15.75" customHeight="1">
      <c r="E105" s="1"/>
      <c r="F105" s="1"/>
    </row>
    <row r="106" ht="15.75" customHeight="1">
      <c r="E106" s="1"/>
      <c r="F106" s="1"/>
    </row>
    <row r="107" ht="15.75" customHeight="1">
      <c r="E107" s="1"/>
      <c r="F107" s="1"/>
    </row>
    <row r="108" ht="15.75" customHeight="1">
      <c r="E108" s="1"/>
      <c r="F108" s="1"/>
    </row>
    <row r="109" ht="15.75" customHeight="1">
      <c r="E109" s="1"/>
      <c r="F109" s="1"/>
    </row>
    <row r="110" ht="15.75" customHeight="1">
      <c r="E110" s="1"/>
      <c r="F110" s="1"/>
    </row>
    <row r="111" ht="15.75" customHeight="1">
      <c r="E111" s="1"/>
      <c r="F111" s="1"/>
    </row>
    <row r="112" ht="15.75" customHeight="1">
      <c r="E112" s="1"/>
      <c r="F112" s="1"/>
    </row>
    <row r="113" ht="15.75" customHeight="1">
      <c r="E113" s="1"/>
      <c r="F113" s="1"/>
    </row>
    <row r="114" ht="15.75" customHeight="1">
      <c r="E114" s="1"/>
      <c r="F114" s="1"/>
    </row>
    <row r="115" ht="15.75" customHeight="1">
      <c r="E115" s="1"/>
      <c r="F115" s="1"/>
    </row>
    <row r="116" ht="15.75" customHeight="1">
      <c r="E116" s="1"/>
      <c r="F116" s="1"/>
    </row>
    <row r="117" ht="15.75" customHeight="1">
      <c r="E117" s="1"/>
      <c r="F117" s="1"/>
    </row>
    <row r="118" ht="15.75" customHeight="1">
      <c r="E118" s="1"/>
      <c r="F118" s="1"/>
    </row>
    <row r="119" ht="15.75" customHeight="1">
      <c r="E119" s="1"/>
      <c r="F119" s="1"/>
    </row>
    <row r="120" ht="15.75" customHeight="1">
      <c r="E120" s="1"/>
      <c r="F120" s="1"/>
    </row>
    <row r="121" ht="15.75" customHeight="1">
      <c r="E121" s="1"/>
      <c r="F121" s="1"/>
    </row>
    <row r="122" ht="15.75" customHeight="1">
      <c r="E122" s="1"/>
      <c r="F122" s="1"/>
    </row>
    <row r="123" ht="15.75" customHeight="1">
      <c r="E123" s="1"/>
      <c r="F123" s="1"/>
    </row>
    <row r="124" ht="15.75" customHeight="1">
      <c r="E124" s="1"/>
      <c r="F124" s="1"/>
    </row>
    <row r="125" ht="15.75" customHeight="1">
      <c r="E125" s="1"/>
      <c r="F125" s="1"/>
    </row>
    <row r="126" ht="15.75" customHeight="1">
      <c r="E126" s="1"/>
      <c r="F126" s="1"/>
    </row>
    <row r="127" ht="15.75" customHeight="1">
      <c r="E127" s="1"/>
      <c r="F127" s="1"/>
    </row>
    <row r="128" ht="15.75" customHeight="1">
      <c r="E128" s="1"/>
      <c r="F128" s="1"/>
    </row>
    <row r="129" ht="15.75" customHeight="1">
      <c r="E129" s="1"/>
      <c r="F129" s="1"/>
    </row>
    <row r="130" ht="15.75" customHeight="1">
      <c r="E130" s="1"/>
      <c r="F130" s="1"/>
    </row>
    <row r="131" ht="15.75" customHeight="1">
      <c r="E131" s="1"/>
      <c r="F131" s="1"/>
    </row>
    <row r="132" ht="15.75" customHeight="1">
      <c r="E132" s="1"/>
      <c r="F132" s="1"/>
    </row>
    <row r="133" ht="15.75" customHeight="1">
      <c r="E133" s="1"/>
      <c r="F133" s="1"/>
    </row>
    <row r="134" ht="15.75" customHeight="1">
      <c r="E134" s="1"/>
      <c r="F134" s="1"/>
    </row>
    <row r="135" ht="15.75" customHeight="1">
      <c r="E135" s="1"/>
      <c r="F135" s="1"/>
    </row>
    <row r="136" ht="15.75" customHeight="1">
      <c r="E136" s="1"/>
      <c r="F136" s="1"/>
    </row>
    <row r="137" ht="15.75" customHeight="1">
      <c r="E137" s="1"/>
      <c r="F137" s="1"/>
    </row>
    <row r="138" ht="15.75" customHeight="1">
      <c r="E138" s="1"/>
      <c r="F138" s="1"/>
    </row>
    <row r="139" ht="15.75" customHeight="1">
      <c r="E139" s="1"/>
      <c r="F139" s="1"/>
    </row>
    <row r="140" ht="15.75" customHeight="1">
      <c r="E140" s="1"/>
      <c r="F140" s="1"/>
    </row>
    <row r="141" ht="15.75" customHeight="1">
      <c r="E141" s="1"/>
      <c r="F141" s="1"/>
    </row>
    <row r="142" ht="15.75" customHeight="1">
      <c r="E142" s="1"/>
      <c r="F142" s="1"/>
    </row>
    <row r="143" ht="15.75" customHeight="1">
      <c r="E143" s="1"/>
      <c r="F143" s="1"/>
    </row>
    <row r="144" ht="15.75" customHeight="1">
      <c r="E144" s="1"/>
      <c r="F144" s="1"/>
    </row>
    <row r="145" ht="15.75" customHeight="1">
      <c r="E145" s="1"/>
      <c r="F145" s="1"/>
    </row>
    <row r="146" ht="15.75" customHeight="1">
      <c r="E146" s="1"/>
      <c r="F146" s="1"/>
    </row>
    <row r="147" ht="15.75" customHeight="1">
      <c r="E147" s="1"/>
      <c r="F147" s="1"/>
    </row>
    <row r="148" ht="15.75" customHeight="1">
      <c r="E148" s="1"/>
      <c r="F148" s="1"/>
    </row>
    <row r="149" ht="15.75" customHeight="1">
      <c r="E149" s="1"/>
      <c r="F149" s="1"/>
    </row>
    <row r="150" ht="15.75" customHeight="1">
      <c r="E150" s="1"/>
      <c r="F150" s="1"/>
    </row>
    <row r="151" ht="15.75" customHeight="1">
      <c r="E151" s="1"/>
      <c r="F151" s="1"/>
    </row>
    <row r="152" ht="15.75" customHeight="1">
      <c r="E152" s="1"/>
      <c r="F152" s="1"/>
    </row>
    <row r="153" ht="15.75" customHeight="1">
      <c r="E153" s="1"/>
      <c r="F153" s="1"/>
    </row>
    <row r="154" ht="15.75" customHeight="1">
      <c r="E154" s="1"/>
      <c r="F154" s="1"/>
    </row>
    <row r="155" ht="15.75" customHeight="1">
      <c r="E155" s="1"/>
      <c r="F155" s="1"/>
    </row>
    <row r="156" ht="15.75" customHeight="1">
      <c r="E156" s="1"/>
      <c r="F156" s="1"/>
    </row>
    <row r="157" ht="15.75" customHeight="1">
      <c r="E157" s="1"/>
      <c r="F157" s="1"/>
    </row>
    <row r="158" ht="15.75" customHeight="1">
      <c r="E158" s="1"/>
      <c r="F158" s="1"/>
    </row>
    <row r="159" ht="15.75" customHeight="1">
      <c r="E159" s="1"/>
      <c r="F159" s="1"/>
    </row>
    <row r="160" ht="15.75" customHeight="1">
      <c r="E160" s="1"/>
      <c r="F160" s="1"/>
    </row>
    <row r="161" ht="15.75" customHeight="1">
      <c r="E161" s="1"/>
      <c r="F161" s="1"/>
    </row>
    <row r="162" ht="15.75" customHeight="1">
      <c r="E162" s="1"/>
      <c r="F162" s="1"/>
    </row>
    <row r="163" ht="15.75" customHeight="1">
      <c r="E163" s="1"/>
      <c r="F163" s="1"/>
    </row>
    <row r="164" ht="15.75" customHeight="1">
      <c r="E164" s="1"/>
      <c r="F164" s="1"/>
    </row>
    <row r="165" ht="15.75" customHeight="1">
      <c r="E165" s="1"/>
      <c r="F165" s="1"/>
    </row>
    <row r="166" ht="15.75" customHeight="1">
      <c r="E166" s="1"/>
      <c r="F166" s="1"/>
    </row>
    <row r="167" ht="15.75" customHeight="1">
      <c r="E167" s="1"/>
      <c r="F167" s="1"/>
    </row>
    <row r="168" ht="15.75" customHeight="1">
      <c r="E168" s="1"/>
      <c r="F168" s="1"/>
    </row>
    <row r="169" ht="15.75" customHeight="1">
      <c r="E169" s="1"/>
      <c r="F169" s="1"/>
    </row>
    <row r="170" ht="15.75" customHeight="1">
      <c r="E170" s="1"/>
      <c r="F170" s="1"/>
    </row>
    <row r="171" ht="15.75" customHeight="1">
      <c r="E171" s="1"/>
      <c r="F171" s="1"/>
    </row>
    <row r="172" ht="15.75" customHeight="1">
      <c r="E172" s="1"/>
      <c r="F172" s="1"/>
    </row>
    <row r="173" ht="15.75" customHeight="1">
      <c r="E173" s="1"/>
      <c r="F173" s="1"/>
    </row>
    <row r="174" ht="15.75" customHeight="1">
      <c r="E174" s="1"/>
      <c r="F174" s="1"/>
    </row>
    <row r="175" ht="15.75" customHeight="1">
      <c r="E175" s="1"/>
      <c r="F175" s="1"/>
    </row>
    <row r="176" ht="15.75" customHeight="1">
      <c r="E176" s="1"/>
      <c r="F176" s="1"/>
    </row>
    <row r="177" ht="15.75" customHeight="1">
      <c r="E177" s="1"/>
      <c r="F177" s="1"/>
    </row>
    <row r="178" ht="15.75" customHeight="1">
      <c r="E178" s="1"/>
      <c r="F178" s="1"/>
    </row>
    <row r="179" ht="15.75" customHeight="1">
      <c r="E179" s="1"/>
      <c r="F179" s="1"/>
    </row>
    <row r="180" ht="15.75" customHeight="1">
      <c r="E180" s="1"/>
      <c r="F180" s="1"/>
    </row>
    <row r="181" ht="15.75" customHeight="1">
      <c r="E181" s="1"/>
      <c r="F181" s="1"/>
    </row>
    <row r="182" ht="15.75" customHeight="1">
      <c r="E182" s="1"/>
      <c r="F182" s="1"/>
    </row>
    <row r="183" ht="15.75" customHeight="1">
      <c r="E183" s="1"/>
      <c r="F183" s="1"/>
    </row>
    <row r="184" ht="15.75" customHeight="1">
      <c r="E184" s="1"/>
      <c r="F184" s="1"/>
    </row>
    <row r="185" ht="15.75" customHeight="1">
      <c r="E185" s="1"/>
      <c r="F185" s="1"/>
    </row>
    <row r="186" ht="15.75" customHeight="1">
      <c r="E186" s="1"/>
      <c r="F186" s="1"/>
    </row>
    <row r="187" ht="15.75" customHeight="1">
      <c r="E187" s="1"/>
      <c r="F187" s="1"/>
    </row>
    <row r="188" ht="15.75" customHeight="1">
      <c r="E188" s="1"/>
      <c r="F188" s="1"/>
    </row>
    <row r="189" ht="15.75" customHeight="1">
      <c r="E189" s="1"/>
      <c r="F189" s="1"/>
    </row>
    <row r="190" ht="15.75" customHeight="1">
      <c r="E190" s="1"/>
      <c r="F190" s="1"/>
    </row>
    <row r="191" ht="15.75" customHeight="1">
      <c r="E191" s="1"/>
      <c r="F191" s="1"/>
    </row>
    <row r="192" ht="15.75" customHeight="1">
      <c r="E192" s="1"/>
      <c r="F192" s="1"/>
    </row>
    <row r="193" ht="15.75" customHeight="1">
      <c r="E193" s="1"/>
      <c r="F193" s="1"/>
    </row>
    <row r="194" ht="15.75" customHeight="1">
      <c r="E194" s="1"/>
      <c r="F194" s="1"/>
    </row>
    <row r="195" ht="15.75" customHeight="1">
      <c r="E195" s="1"/>
      <c r="F195" s="1"/>
    </row>
    <row r="196" ht="15.75" customHeight="1">
      <c r="E196" s="1"/>
      <c r="F196" s="1"/>
    </row>
    <row r="197" ht="15.75" customHeight="1">
      <c r="E197" s="1"/>
      <c r="F197" s="1"/>
    </row>
    <row r="198" ht="15.75" customHeight="1">
      <c r="E198" s="1"/>
      <c r="F198" s="1"/>
    </row>
    <row r="199" ht="15.75" customHeight="1">
      <c r="E199" s="1"/>
      <c r="F199" s="1"/>
    </row>
    <row r="200" ht="15.75" customHeight="1">
      <c r="E200" s="1"/>
      <c r="F200" s="1"/>
    </row>
    <row r="201" ht="15.75" customHeight="1">
      <c r="E201" s="1"/>
      <c r="F201" s="1"/>
    </row>
    <row r="202" ht="15.75" customHeight="1">
      <c r="E202" s="1"/>
      <c r="F202" s="1"/>
    </row>
    <row r="203" ht="15.75" customHeight="1">
      <c r="E203" s="1"/>
      <c r="F203" s="1"/>
    </row>
    <row r="204" ht="15.75" customHeight="1">
      <c r="E204" s="1"/>
      <c r="F204" s="1"/>
    </row>
    <row r="205" ht="15.75" customHeight="1">
      <c r="E205" s="1"/>
      <c r="F205" s="1"/>
    </row>
    <row r="206" ht="15.75" customHeight="1">
      <c r="E206" s="1"/>
      <c r="F206" s="1"/>
    </row>
    <row r="207" ht="15.75" customHeight="1">
      <c r="E207" s="1"/>
      <c r="F207" s="1"/>
    </row>
    <row r="208" ht="15.75" customHeight="1">
      <c r="E208" s="1"/>
      <c r="F208" s="1"/>
    </row>
    <row r="209" ht="15.75" customHeight="1">
      <c r="E209" s="1"/>
      <c r="F209" s="1"/>
    </row>
    <row r="210" ht="15.75" customHeight="1">
      <c r="E210" s="1"/>
      <c r="F210" s="1"/>
    </row>
    <row r="211" ht="15.75" customHeight="1">
      <c r="E211" s="1"/>
      <c r="F211" s="1"/>
    </row>
    <row r="212" ht="15.75" customHeight="1">
      <c r="E212" s="1"/>
      <c r="F212" s="1"/>
    </row>
    <row r="213" ht="15.75" customHeight="1">
      <c r="E213" s="1"/>
      <c r="F213" s="1"/>
    </row>
    <row r="214" ht="15.75" customHeight="1">
      <c r="E214" s="1"/>
      <c r="F214" s="1"/>
    </row>
    <row r="215" ht="15.75" customHeight="1">
      <c r="E215" s="1"/>
      <c r="F215" s="1"/>
    </row>
    <row r="216" ht="15.75" customHeight="1">
      <c r="E216" s="1"/>
      <c r="F216" s="1"/>
    </row>
    <row r="217" ht="15.75" customHeight="1">
      <c r="E217" s="1"/>
      <c r="F217" s="1"/>
    </row>
    <row r="218" ht="15.75" customHeight="1">
      <c r="E218" s="1"/>
      <c r="F218" s="1"/>
    </row>
    <row r="219" ht="15.75" customHeight="1">
      <c r="E219" s="1"/>
      <c r="F219" s="1"/>
    </row>
    <row r="220" ht="15.75" customHeight="1">
      <c r="E220" s="1"/>
      <c r="F220" s="1"/>
    </row>
    <row r="221" ht="15.75" customHeight="1">
      <c r="E221" s="1"/>
      <c r="F221" s="1"/>
    </row>
    <row r="222" ht="15.75" customHeight="1">
      <c r="E222" s="1"/>
      <c r="F222" s="1"/>
    </row>
    <row r="223" ht="15.75" customHeight="1">
      <c r="E223" s="1"/>
      <c r="F223" s="1"/>
    </row>
    <row r="224" ht="15.75" customHeight="1">
      <c r="E224" s="1"/>
      <c r="F224" s="1"/>
    </row>
    <row r="225" ht="15.75" customHeight="1">
      <c r="E225" s="1"/>
      <c r="F225" s="1"/>
    </row>
    <row r="226" ht="15.75" customHeight="1">
      <c r="E226" s="1"/>
      <c r="F226" s="1"/>
    </row>
    <row r="227" ht="15.75" customHeight="1">
      <c r="E227" s="1"/>
      <c r="F227" s="1"/>
    </row>
    <row r="228" ht="15.75" customHeight="1">
      <c r="E228" s="1"/>
      <c r="F228" s="1"/>
    </row>
    <row r="229" ht="15.75" customHeight="1">
      <c r="E229" s="1"/>
      <c r="F229" s="1"/>
    </row>
    <row r="230" ht="15.75" customHeight="1">
      <c r="E230" s="1"/>
      <c r="F230" s="1"/>
    </row>
    <row r="231" ht="15.75" customHeight="1">
      <c r="E231" s="1"/>
      <c r="F231" s="1"/>
    </row>
    <row r="232" ht="15.75" customHeight="1">
      <c r="E232" s="1"/>
      <c r="F232" s="1"/>
    </row>
    <row r="233" ht="15.75" customHeight="1">
      <c r="E233" s="1"/>
      <c r="F233" s="1"/>
    </row>
    <row r="234" ht="15.75" customHeight="1">
      <c r="E234" s="1"/>
      <c r="F234" s="1"/>
    </row>
    <row r="235" ht="15.75" customHeight="1">
      <c r="E235" s="1"/>
      <c r="F235" s="1"/>
    </row>
    <row r="236" ht="15.75" customHeight="1">
      <c r="E236" s="1"/>
      <c r="F236" s="1"/>
    </row>
    <row r="237" ht="15.75" customHeight="1">
      <c r="E237" s="1"/>
      <c r="F237" s="1"/>
    </row>
    <row r="238" ht="15.75" customHeight="1">
      <c r="E238" s="1"/>
      <c r="F238" s="1"/>
    </row>
    <row r="239" ht="15.75" customHeight="1">
      <c r="E239" s="1"/>
      <c r="F239" s="1"/>
    </row>
    <row r="240" ht="15.75" customHeight="1">
      <c r="E240" s="1"/>
      <c r="F240" s="1"/>
    </row>
    <row r="241" ht="15.75" customHeight="1">
      <c r="E241" s="1"/>
      <c r="F241" s="1"/>
    </row>
    <row r="242" ht="15.75" customHeight="1">
      <c r="E242" s="1"/>
      <c r="F242" s="1"/>
    </row>
    <row r="243" ht="15.75" customHeight="1">
      <c r="E243" s="1"/>
      <c r="F243" s="1"/>
    </row>
    <row r="244" ht="15.75" customHeight="1">
      <c r="E244" s="1"/>
      <c r="F244" s="1"/>
    </row>
    <row r="245" ht="15.75" customHeight="1">
      <c r="E245" s="1"/>
      <c r="F245" s="1"/>
    </row>
    <row r="246" ht="15.75" customHeight="1">
      <c r="E246" s="1"/>
      <c r="F246" s="1"/>
    </row>
    <row r="247" ht="15.75" customHeight="1">
      <c r="E247" s="1"/>
      <c r="F247" s="1"/>
    </row>
    <row r="248" ht="15.75" customHeight="1">
      <c r="E248" s="1"/>
      <c r="F248" s="1"/>
    </row>
    <row r="249" ht="15.75" customHeight="1">
      <c r="E249" s="1"/>
      <c r="F249" s="1"/>
    </row>
    <row r="250" ht="15.75" customHeight="1">
      <c r="E250" s="1"/>
      <c r="F250" s="1"/>
    </row>
    <row r="251" ht="15.75" customHeight="1">
      <c r="E251" s="1"/>
      <c r="F251" s="1"/>
    </row>
    <row r="252" ht="15.75" customHeight="1">
      <c r="E252" s="1"/>
      <c r="F252" s="1"/>
    </row>
    <row r="253" ht="15.75" customHeight="1">
      <c r="E253" s="1"/>
      <c r="F253" s="1"/>
    </row>
    <row r="254" ht="15.75" customHeight="1">
      <c r="E254" s="1"/>
      <c r="F254" s="1"/>
    </row>
    <row r="255" ht="15.75" customHeight="1">
      <c r="E255" s="1"/>
      <c r="F255" s="1"/>
    </row>
    <row r="256" ht="15.75" customHeight="1">
      <c r="E256" s="1"/>
      <c r="F256" s="1"/>
    </row>
    <row r="257" ht="15.75" customHeight="1">
      <c r="E257" s="1"/>
      <c r="F257" s="1"/>
    </row>
    <row r="258" ht="15.75" customHeight="1">
      <c r="E258" s="1"/>
      <c r="F258" s="1"/>
    </row>
    <row r="259" ht="15.75" customHeight="1">
      <c r="E259" s="1"/>
      <c r="F259" s="1"/>
    </row>
    <row r="260" ht="15.75" customHeight="1">
      <c r="E260" s="1"/>
      <c r="F260" s="1"/>
    </row>
    <row r="261" ht="15.75" customHeight="1">
      <c r="E261" s="1"/>
      <c r="F261" s="1"/>
    </row>
    <row r="262" ht="15.75" customHeight="1">
      <c r="E262" s="1"/>
      <c r="F262" s="1"/>
    </row>
    <row r="263" ht="15.75" customHeight="1">
      <c r="E263" s="1"/>
      <c r="F263" s="1"/>
    </row>
    <row r="264" ht="15.75" customHeight="1">
      <c r="E264" s="1"/>
      <c r="F264" s="1"/>
    </row>
    <row r="265" ht="15.75" customHeight="1">
      <c r="E265" s="1"/>
      <c r="F265" s="1"/>
    </row>
    <row r="266" ht="15.75" customHeight="1">
      <c r="E266" s="1"/>
      <c r="F266" s="1"/>
    </row>
    <row r="267" ht="15.75" customHeight="1">
      <c r="E267" s="1"/>
      <c r="F267" s="1"/>
    </row>
    <row r="268" ht="15.75" customHeight="1">
      <c r="E268" s="1"/>
      <c r="F268" s="1"/>
    </row>
    <row r="269" ht="15.75" customHeight="1">
      <c r="E269" s="1"/>
      <c r="F269" s="1"/>
    </row>
    <row r="270" ht="15.75" customHeight="1">
      <c r="E270" s="1"/>
      <c r="F270" s="1"/>
    </row>
    <row r="271" ht="15.75" customHeight="1">
      <c r="E271" s="1"/>
      <c r="F271" s="1"/>
    </row>
    <row r="272" ht="15.75" customHeight="1">
      <c r="E272" s="1"/>
      <c r="F272" s="1"/>
    </row>
    <row r="273" ht="15.75" customHeight="1">
      <c r="E273" s="1"/>
      <c r="F273" s="1"/>
    </row>
    <row r="274" ht="15.75" customHeight="1">
      <c r="E274" s="1"/>
      <c r="F274" s="1"/>
    </row>
    <row r="275" ht="15.75" customHeight="1">
      <c r="E275" s="1"/>
      <c r="F275" s="1"/>
    </row>
    <row r="276" ht="15.75" customHeight="1">
      <c r="E276" s="1"/>
      <c r="F276" s="1"/>
    </row>
    <row r="277" ht="15.75" customHeight="1">
      <c r="E277" s="1"/>
      <c r="F277" s="1"/>
    </row>
    <row r="278" ht="15.75" customHeight="1">
      <c r="E278" s="1"/>
      <c r="F278" s="1"/>
    </row>
    <row r="279" ht="15.75" customHeight="1">
      <c r="E279" s="1"/>
      <c r="F279" s="1"/>
    </row>
    <row r="280" ht="15.75" customHeight="1">
      <c r="E280" s="1"/>
      <c r="F280" s="1"/>
    </row>
    <row r="281" ht="15.75" customHeight="1">
      <c r="E281" s="1"/>
      <c r="F281" s="1"/>
    </row>
    <row r="282" ht="15.75" customHeight="1">
      <c r="E282" s="1"/>
      <c r="F282" s="1"/>
    </row>
    <row r="283" ht="15.75" customHeight="1">
      <c r="E283" s="1"/>
      <c r="F283" s="1"/>
    </row>
    <row r="284" ht="15.75" customHeight="1">
      <c r="E284" s="1"/>
      <c r="F284" s="1"/>
    </row>
    <row r="285" ht="15.75" customHeight="1">
      <c r="E285" s="1"/>
      <c r="F285" s="1"/>
    </row>
    <row r="286" ht="15.75" customHeight="1">
      <c r="E286" s="1"/>
      <c r="F286" s="1"/>
    </row>
    <row r="287" ht="15.75" customHeight="1">
      <c r="E287" s="1"/>
      <c r="F287" s="1"/>
    </row>
    <row r="288" ht="15.75" customHeight="1">
      <c r="E288" s="1"/>
      <c r="F288" s="1"/>
    </row>
    <row r="289" ht="15.75" customHeight="1">
      <c r="E289" s="1"/>
      <c r="F289" s="1"/>
    </row>
    <row r="290" ht="15.75" customHeight="1">
      <c r="E290" s="1"/>
      <c r="F290" s="1"/>
    </row>
    <row r="291" ht="15.75" customHeight="1">
      <c r="E291" s="1"/>
      <c r="F291" s="1"/>
    </row>
    <row r="292" ht="15.75" customHeight="1">
      <c r="E292" s="1"/>
      <c r="F292" s="1"/>
    </row>
    <row r="293" ht="15.75" customHeight="1">
      <c r="E293" s="1"/>
      <c r="F293" s="1"/>
    </row>
    <row r="294" ht="15.75" customHeight="1">
      <c r="E294" s="1"/>
      <c r="F294" s="1"/>
    </row>
    <row r="295" ht="15.75" customHeight="1">
      <c r="E295" s="1"/>
      <c r="F295" s="1"/>
    </row>
    <row r="296" ht="15.75" customHeight="1">
      <c r="E296" s="1"/>
      <c r="F296" s="1"/>
    </row>
    <row r="297" ht="15.75" customHeight="1">
      <c r="E297" s="1"/>
      <c r="F297" s="1"/>
    </row>
    <row r="298" ht="15.75" customHeight="1">
      <c r="E298" s="1"/>
      <c r="F298" s="1"/>
    </row>
    <row r="299" ht="15.75" customHeight="1">
      <c r="E299" s="1"/>
      <c r="F299" s="1"/>
    </row>
    <row r="300" ht="15.75" customHeight="1">
      <c r="E300" s="1"/>
      <c r="F300" s="1"/>
    </row>
    <row r="301" ht="15.75" customHeight="1">
      <c r="E301" s="1"/>
      <c r="F301" s="1"/>
    </row>
    <row r="302" ht="15.75" customHeight="1">
      <c r="E302" s="1"/>
      <c r="F302" s="1"/>
    </row>
    <row r="303" ht="15.75" customHeight="1">
      <c r="E303" s="1"/>
      <c r="F303" s="1"/>
    </row>
    <row r="304" ht="15.75" customHeight="1">
      <c r="E304" s="1"/>
      <c r="F304" s="1"/>
    </row>
    <row r="305" ht="15.75" customHeight="1">
      <c r="E305" s="1"/>
      <c r="F305" s="1"/>
    </row>
    <row r="306" ht="15.75" customHeight="1">
      <c r="E306" s="1"/>
      <c r="F306" s="1"/>
    </row>
    <row r="307" ht="15.75" customHeight="1">
      <c r="E307" s="1"/>
      <c r="F307" s="1"/>
    </row>
    <row r="308" ht="15.75" customHeight="1">
      <c r="E308" s="1"/>
      <c r="F308" s="1"/>
    </row>
    <row r="309" ht="15.75" customHeight="1">
      <c r="E309" s="1"/>
      <c r="F309" s="1"/>
    </row>
    <row r="310" ht="15.75" customHeight="1">
      <c r="E310" s="1"/>
      <c r="F310" s="1"/>
    </row>
    <row r="311" ht="15.75" customHeight="1">
      <c r="E311" s="1"/>
      <c r="F311" s="1"/>
    </row>
    <row r="312" ht="15.75" customHeight="1">
      <c r="E312" s="1"/>
      <c r="F312" s="1"/>
    </row>
    <row r="313" ht="15.75" customHeight="1">
      <c r="E313" s="1"/>
      <c r="F313" s="1"/>
    </row>
    <row r="314" ht="15.75" customHeight="1">
      <c r="E314" s="1"/>
      <c r="F314" s="1"/>
    </row>
    <row r="315" ht="15.75" customHeight="1">
      <c r="E315" s="1"/>
      <c r="F315" s="1"/>
    </row>
    <row r="316" ht="15.75" customHeight="1">
      <c r="E316" s="1"/>
      <c r="F316" s="1"/>
    </row>
    <row r="317" ht="15.75" customHeight="1">
      <c r="E317" s="1"/>
      <c r="F317" s="1"/>
    </row>
    <row r="318" ht="15.75" customHeight="1">
      <c r="E318" s="1"/>
      <c r="F318" s="1"/>
    </row>
    <row r="319" ht="15.75" customHeight="1">
      <c r="E319" s="1"/>
      <c r="F319" s="1"/>
    </row>
    <row r="320" ht="15.75" customHeight="1">
      <c r="E320" s="1"/>
      <c r="F320" s="1"/>
    </row>
    <row r="321" ht="15.75" customHeight="1">
      <c r="E321" s="1"/>
      <c r="F321" s="1"/>
    </row>
    <row r="322" ht="15.75" customHeight="1">
      <c r="E322" s="1"/>
      <c r="F322" s="1"/>
    </row>
    <row r="323" ht="15.75" customHeight="1">
      <c r="E323" s="1"/>
      <c r="F323" s="1"/>
    </row>
    <row r="324" ht="15.75" customHeight="1">
      <c r="E324" s="1"/>
      <c r="F324" s="1"/>
    </row>
    <row r="325" ht="15.75" customHeight="1">
      <c r="E325" s="1"/>
      <c r="F325" s="1"/>
    </row>
    <row r="326" ht="15.75" customHeight="1">
      <c r="E326" s="1"/>
      <c r="F326" s="1"/>
    </row>
    <row r="327" ht="15.75" customHeight="1">
      <c r="E327" s="1"/>
      <c r="F327" s="1"/>
    </row>
    <row r="328" ht="15.75" customHeight="1">
      <c r="E328" s="1"/>
      <c r="F328" s="1"/>
    </row>
    <row r="329" ht="15.75" customHeight="1">
      <c r="E329" s="1"/>
      <c r="F329" s="1"/>
    </row>
    <row r="330" ht="15.75" customHeight="1">
      <c r="E330" s="1"/>
      <c r="F330" s="1"/>
    </row>
    <row r="331" ht="15.75" customHeight="1">
      <c r="E331" s="1"/>
      <c r="F331" s="1"/>
    </row>
    <row r="332" ht="15.75" customHeight="1">
      <c r="E332" s="1"/>
      <c r="F332" s="1"/>
    </row>
    <row r="333" ht="15.75" customHeight="1">
      <c r="E333" s="1"/>
      <c r="F333" s="1"/>
    </row>
    <row r="334" ht="15.75" customHeight="1">
      <c r="E334" s="1"/>
      <c r="F334" s="1"/>
    </row>
    <row r="335" ht="15.75" customHeight="1">
      <c r="E335" s="1"/>
      <c r="F335" s="1"/>
    </row>
    <row r="336" ht="15.75" customHeight="1">
      <c r="E336" s="1"/>
      <c r="F336" s="1"/>
    </row>
    <row r="337" ht="15.75" customHeight="1">
      <c r="E337" s="1"/>
      <c r="F337" s="1"/>
    </row>
    <row r="338" ht="15.75" customHeight="1">
      <c r="E338" s="1"/>
      <c r="F338" s="1"/>
    </row>
    <row r="339" ht="15.75" customHeight="1">
      <c r="E339" s="1"/>
      <c r="F339" s="1"/>
    </row>
    <row r="340" ht="15.75" customHeight="1">
      <c r="E340" s="1"/>
      <c r="F340" s="1"/>
    </row>
    <row r="341" ht="15.75" customHeight="1">
      <c r="E341" s="1"/>
      <c r="F341" s="1"/>
    </row>
    <row r="342" ht="15.75" customHeight="1">
      <c r="E342" s="1"/>
      <c r="F342" s="1"/>
    </row>
    <row r="343" ht="15.75" customHeight="1">
      <c r="E343" s="1"/>
      <c r="F343" s="1"/>
    </row>
    <row r="344" ht="15.75" customHeight="1">
      <c r="E344" s="1"/>
      <c r="F344" s="1"/>
    </row>
    <row r="345" ht="15.75" customHeight="1">
      <c r="E345" s="1"/>
      <c r="F345" s="1"/>
    </row>
    <row r="346" ht="15.75" customHeight="1">
      <c r="E346" s="1"/>
      <c r="F346" s="1"/>
    </row>
    <row r="347" ht="15.75" customHeight="1">
      <c r="E347" s="1"/>
      <c r="F347" s="1"/>
    </row>
    <row r="348" ht="15.75" customHeight="1">
      <c r="E348" s="1"/>
      <c r="F348" s="1"/>
    </row>
    <row r="349" ht="15.75" customHeight="1">
      <c r="E349" s="1"/>
      <c r="F349" s="1"/>
    </row>
    <row r="350" ht="15.75" customHeight="1">
      <c r="E350" s="1"/>
      <c r="F350" s="1"/>
    </row>
    <row r="351" ht="15.75" customHeight="1">
      <c r="E351" s="1"/>
      <c r="F351" s="1"/>
    </row>
    <row r="352" ht="15.75" customHeight="1">
      <c r="E352" s="1"/>
      <c r="F352" s="1"/>
    </row>
    <row r="353" ht="15.75" customHeight="1">
      <c r="E353" s="1"/>
      <c r="F353" s="1"/>
    </row>
    <row r="354" ht="15.75" customHeight="1">
      <c r="E354" s="1"/>
      <c r="F354" s="1"/>
    </row>
    <row r="355" ht="15.75" customHeight="1">
      <c r="E355" s="1"/>
      <c r="F355" s="1"/>
    </row>
    <row r="356" ht="15.75" customHeight="1">
      <c r="E356" s="1"/>
      <c r="F356" s="1"/>
    </row>
    <row r="357" ht="15.75" customHeight="1">
      <c r="E357" s="1"/>
      <c r="F357" s="1"/>
    </row>
    <row r="358" ht="15.75" customHeight="1">
      <c r="E358" s="1"/>
      <c r="F358" s="1"/>
    </row>
    <row r="359" ht="15.75" customHeight="1">
      <c r="E359" s="1"/>
      <c r="F359" s="1"/>
    </row>
    <row r="360" ht="15.75" customHeight="1">
      <c r="E360" s="1"/>
      <c r="F360" s="1"/>
    </row>
    <row r="361" ht="15.75" customHeight="1">
      <c r="E361" s="1"/>
      <c r="F361" s="1"/>
    </row>
    <row r="362" ht="15.75" customHeight="1">
      <c r="E362" s="1"/>
      <c r="F362" s="1"/>
    </row>
    <row r="363" ht="15.75" customHeight="1">
      <c r="E363" s="1"/>
      <c r="F363" s="1"/>
    </row>
    <row r="364" ht="15.75" customHeight="1">
      <c r="E364" s="1"/>
      <c r="F364" s="1"/>
    </row>
    <row r="365" ht="15.75" customHeight="1">
      <c r="E365" s="1"/>
      <c r="F365" s="1"/>
    </row>
    <row r="366" ht="15.75" customHeight="1">
      <c r="E366" s="1"/>
      <c r="F366" s="1"/>
    </row>
    <row r="367" ht="15.75" customHeight="1">
      <c r="E367" s="1"/>
      <c r="F367" s="1"/>
    </row>
    <row r="368" ht="15.75" customHeight="1">
      <c r="E368" s="1"/>
      <c r="F368" s="1"/>
    </row>
    <row r="369" ht="15.75" customHeight="1">
      <c r="E369" s="1"/>
      <c r="F369" s="1"/>
    </row>
    <row r="370" ht="15.75" customHeight="1">
      <c r="E370" s="1"/>
      <c r="F370" s="1"/>
    </row>
    <row r="371" ht="15.75" customHeight="1">
      <c r="E371" s="1"/>
      <c r="F371" s="1"/>
    </row>
    <row r="372" ht="15.75" customHeight="1">
      <c r="E372" s="1"/>
      <c r="F372" s="1"/>
    </row>
    <row r="373" ht="15.75" customHeight="1">
      <c r="E373" s="1"/>
      <c r="F373" s="1"/>
    </row>
    <row r="374" ht="15.75" customHeight="1">
      <c r="E374" s="1"/>
      <c r="F374" s="1"/>
    </row>
    <row r="375" ht="15.75" customHeight="1">
      <c r="E375" s="1"/>
      <c r="F375" s="1"/>
    </row>
    <row r="376" ht="15.75" customHeight="1">
      <c r="E376" s="1"/>
      <c r="F376" s="1"/>
    </row>
    <row r="377" ht="15.75" customHeight="1">
      <c r="E377" s="1"/>
      <c r="F377" s="1"/>
    </row>
    <row r="378" ht="15.75" customHeight="1">
      <c r="E378" s="1"/>
      <c r="F378" s="1"/>
    </row>
    <row r="379" ht="15.75" customHeight="1">
      <c r="E379" s="1"/>
      <c r="F379" s="1"/>
    </row>
    <row r="380" ht="15.75" customHeight="1">
      <c r="E380" s="1"/>
      <c r="F380" s="1"/>
    </row>
    <row r="381" ht="15.75" customHeight="1">
      <c r="E381" s="1"/>
      <c r="F381" s="1"/>
    </row>
    <row r="382" ht="15.75" customHeight="1">
      <c r="E382" s="1"/>
      <c r="F382" s="1"/>
    </row>
    <row r="383" ht="15.75" customHeight="1">
      <c r="E383" s="1"/>
      <c r="F383" s="1"/>
    </row>
    <row r="384" ht="15.75" customHeight="1">
      <c r="E384" s="1"/>
      <c r="F384" s="1"/>
    </row>
    <row r="385" ht="15.75" customHeight="1">
      <c r="E385" s="1"/>
      <c r="F385" s="1"/>
    </row>
    <row r="386" ht="15.75" customHeight="1">
      <c r="E386" s="1"/>
      <c r="F386" s="1"/>
    </row>
    <row r="387" ht="15.75" customHeight="1">
      <c r="E387" s="1"/>
      <c r="F387" s="1"/>
    </row>
    <row r="388" ht="15.75" customHeight="1">
      <c r="E388" s="1"/>
      <c r="F388" s="1"/>
    </row>
    <row r="389" ht="15.75" customHeight="1">
      <c r="E389" s="1"/>
      <c r="F389" s="1"/>
    </row>
    <row r="390" ht="15.75" customHeight="1">
      <c r="E390" s="1"/>
      <c r="F390" s="1"/>
    </row>
    <row r="391" ht="15.75" customHeight="1">
      <c r="E391" s="1"/>
      <c r="F391" s="1"/>
    </row>
    <row r="392" ht="15.75" customHeight="1">
      <c r="E392" s="1"/>
      <c r="F392" s="1"/>
    </row>
    <row r="393" ht="15.75" customHeight="1">
      <c r="E393" s="1"/>
      <c r="F393" s="1"/>
    </row>
    <row r="394" ht="15.75" customHeight="1">
      <c r="E394" s="1"/>
      <c r="F394" s="1"/>
    </row>
    <row r="395" ht="15.75" customHeight="1">
      <c r="E395" s="1"/>
      <c r="F395" s="1"/>
    </row>
    <row r="396" ht="15.75" customHeight="1">
      <c r="E396" s="1"/>
      <c r="F396" s="1"/>
    </row>
    <row r="397" ht="15.75" customHeight="1">
      <c r="E397" s="1"/>
      <c r="F397" s="1"/>
    </row>
    <row r="398" ht="15.75" customHeight="1">
      <c r="E398" s="1"/>
      <c r="F398" s="1"/>
    </row>
    <row r="399" ht="15.75" customHeight="1">
      <c r="E399" s="1"/>
      <c r="F399" s="1"/>
    </row>
    <row r="400" ht="15.75" customHeight="1">
      <c r="E400" s="1"/>
      <c r="F400" s="1"/>
    </row>
    <row r="401" ht="15.75" customHeight="1">
      <c r="E401" s="1"/>
      <c r="F401" s="1"/>
    </row>
    <row r="402" ht="15.75" customHeight="1">
      <c r="E402" s="1"/>
      <c r="F402" s="1"/>
    </row>
    <row r="403" ht="15.75" customHeight="1">
      <c r="E403" s="1"/>
      <c r="F403" s="1"/>
    </row>
    <row r="404" ht="15.75" customHeight="1">
      <c r="E404" s="1"/>
      <c r="F404" s="1"/>
    </row>
    <row r="405" ht="15.75" customHeight="1">
      <c r="E405" s="1"/>
      <c r="F405" s="1"/>
    </row>
    <row r="406" ht="15.75" customHeight="1">
      <c r="E406" s="1"/>
      <c r="F406" s="1"/>
    </row>
    <row r="407" ht="15.75" customHeight="1">
      <c r="E407" s="1"/>
      <c r="F407" s="1"/>
    </row>
    <row r="408" ht="15.75" customHeight="1">
      <c r="E408" s="1"/>
      <c r="F408" s="1"/>
    </row>
    <row r="409" ht="15.75" customHeight="1">
      <c r="E409" s="1"/>
      <c r="F409" s="1"/>
    </row>
    <row r="410" ht="15.75" customHeight="1">
      <c r="E410" s="1"/>
      <c r="F410" s="1"/>
    </row>
    <row r="411" ht="15.75" customHeight="1">
      <c r="E411" s="1"/>
      <c r="F411" s="1"/>
    </row>
    <row r="412" ht="15.75" customHeight="1">
      <c r="E412" s="1"/>
      <c r="F412" s="1"/>
    </row>
    <row r="413" ht="15.75" customHeight="1">
      <c r="E413" s="1"/>
      <c r="F413" s="1"/>
    </row>
    <row r="414" ht="15.75" customHeight="1">
      <c r="E414" s="1"/>
      <c r="F414" s="1"/>
    </row>
    <row r="415" ht="15.75" customHeight="1">
      <c r="E415" s="1"/>
      <c r="F415" s="1"/>
    </row>
    <row r="416" ht="15.75" customHeight="1">
      <c r="E416" s="1"/>
      <c r="F416" s="1"/>
    </row>
    <row r="417" ht="15.75" customHeight="1">
      <c r="E417" s="1"/>
      <c r="F417" s="1"/>
    </row>
    <row r="418" ht="15.75" customHeight="1">
      <c r="E418" s="1"/>
      <c r="F418" s="1"/>
    </row>
    <row r="419" ht="15.75" customHeight="1">
      <c r="E419" s="1"/>
      <c r="F419" s="1"/>
    </row>
    <row r="420" ht="15.75" customHeight="1">
      <c r="E420" s="1"/>
      <c r="F420" s="1"/>
    </row>
    <row r="421" ht="15.75" customHeight="1">
      <c r="E421" s="1"/>
      <c r="F421" s="1"/>
    </row>
    <row r="422" ht="15.75" customHeight="1">
      <c r="E422" s="1"/>
      <c r="F422" s="1"/>
    </row>
    <row r="423" ht="15.75" customHeight="1">
      <c r="E423" s="1"/>
      <c r="F423" s="1"/>
    </row>
    <row r="424" ht="15.75" customHeight="1">
      <c r="E424" s="1"/>
      <c r="F424" s="1"/>
    </row>
    <row r="425" ht="15.75" customHeight="1">
      <c r="E425" s="1"/>
      <c r="F425" s="1"/>
    </row>
    <row r="426" ht="15.75" customHeight="1">
      <c r="E426" s="1"/>
      <c r="F426" s="1"/>
    </row>
    <row r="427" ht="15.75" customHeight="1">
      <c r="E427" s="1"/>
      <c r="F427" s="1"/>
    </row>
    <row r="428" ht="15.75" customHeight="1">
      <c r="E428" s="1"/>
      <c r="F428" s="1"/>
    </row>
    <row r="429" ht="15.75" customHeight="1">
      <c r="E429" s="1"/>
      <c r="F429" s="1"/>
    </row>
    <row r="430" ht="15.75" customHeight="1">
      <c r="E430" s="1"/>
      <c r="F430" s="1"/>
    </row>
    <row r="431" ht="15.75" customHeight="1">
      <c r="E431" s="1"/>
      <c r="F431" s="1"/>
    </row>
    <row r="432" ht="15.75" customHeight="1">
      <c r="E432" s="1"/>
      <c r="F432" s="1"/>
    </row>
    <row r="433" ht="15.75" customHeight="1">
      <c r="E433" s="1"/>
      <c r="F433" s="1"/>
    </row>
    <row r="434" ht="15.75" customHeight="1">
      <c r="E434" s="1"/>
      <c r="F434" s="1"/>
    </row>
    <row r="435" ht="15.75" customHeight="1">
      <c r="E435" s="1"/>
      <c r="F435" s="1"/>
    </row>
    <row r="436" ht="15.75" customHeight="1">
      <c r="E436" s="1"/>
      <c r="F436" s="1"/>
    </row>
    <row r="437" ht="15.75" customHeight="1">
      <c r="E437" s="1"/>
      <c r="F437" s="1"/>
    </row>
    <row r="438" ht="15.75" customHeight="1">
      <c r="E438" s="1"/>
      <c r="F438" s="1"/>
    </row>
    <row r="439" ht="15.75" customHeight="1">
      <c r="E439" s="1"/>
      <c r="F439" s="1"/>
    </row>
    <row r="440" ht="15.75" customHeight="1">
      <c r="E440" s="1"/>
      <c r="F440" s="1"/>
    </row>
    <row r="441" ht="15.75" customHeight="1">
      <c r="E441" s="1"/>
      <c r="F441" s="1"/>
    </row>
    <row r="442" ht="15.75" customHeight="1">
      <c r="E442" s="1"/>
      <c r="F442" s="1"/>
    </row>
    <row r="443" ht="15.75" customHeight="1">
      <c r="E443" s="1"/>
      <c r="F443" s="1"/>
    </row>
    <row r="444" ht="15.75" customHeight="1">
      <c r="E444" s="1"/>
      <c r="F444" s="1"/>
    </row>
    <row r="445" ht="15.75" customHeight="1">
      <c r="E445" s="1"/>
      <c r="F445" s="1"/>
    </row>
    <row r="446" ht="15.75" customHeight="1">
      <c r="E446" s="1"/>
      <c r="F446" s="1"/>
    </row>
    <row r="447" ht="15.75" customHeight="1">
      <c r="E447" s="1"/>
      <c r="F447" s="1"/>
    </row>
    <row r="448" ht="15.75" customHeight="1">
      <c r="E448" s="1"/>
      <c r="F448" s="1"/>
    </row>
    <row r="449" ht="15.75" customHeight="1">
      <c r="E449" s="1"/>
      <c r="F449" s="1"/>
    </row>
    <row r="450" ht="15.75" customHeight="1">
      <c r="E450" s="1"/>
      <c r="F450" s="1"/>
    </row>
    <row r="451" ht="15.75" customHeight="1">
      <c r="E451" s="1"/>
      <c r="F451" s="1"/>
    </row>
    <row r="452" ht="15.75" customHeight="1">
      <c r="E452" s="1"/>
      <c r="F452" s="1"/>
    </row>
    <row r="453" ht="15.75" customHeight="1">
      <c r="E453" s="1"/>
      <c r="F453" s="1"/>
    </row>
    <row r="454" ht="15.75" customHeight="1">
      <c r="E454" s="1"/>
      <c r="F454" s="1"/>
    </row>
    <row r="455" ht="15.75" customHeight="1">
      <c r="E455" s="1"/>
      <c r="F455" s="1"/>
    </row>
    <row r="456" ht="15.75" customHeight="1">
      <c r="E456" s="1"/>
      <c r="F456" s="1"/>
    </row>
    <row r="457" ht="15.75" customHeight="1">
      <c r="E457" s="1"/>
      <c r="F457" s="1"/>
    </row>
    <row r="458" ht="15.75" customHeight="1">
      <c r="E458" s="1"/>
      <c r="F458" s="1"/>
    </row>
    <row r="459" ht="15.75" customHeight="1">
      <c r="E459" s="1"/>
      <c r="F459" s="1"/>
    </row>
    <row r="460" ht="15.75" customHeight="1">
      <c r="E460" s="1"/>
      <c r="F460" s="1"/>
    </row>
    <row r="461" ht="15.75" customHeight="1">
      <c r="E461" s="1"/>
      <c r="F461" s="1"/>
    </row>
    <row r="462" ht="15.75" customHeight="1">
      <c r="E462" s="1"/>
      <c r="F462" s="1"/>
    </row>
    <row r="463" ht="15.75" customHeight="1">
      <c r="E463" s="1"/>
      <c r="F463" s="1"/>
    </row>
    <row r="464" ht="15.75" customHeight="1">
      <c r="E464" s="1"/>
      <c r="F464" s="1"/>
    </row>
    <row r="465" ht="15.75" customHeight="1">
      <c r="E465" s="1"/>
      <c r="F465" s="1"/>
    </row>
    <row r="466" ht="15.75" customHeight="1">
      <c r="E466" s="1"/>
      <c r="F466" s="1"/>
    </row>
    <row r="467" ht="15.75" customHeight="1">
      <c r="E467" s="1"/>
      <c r="F467" s="1"/>
    </row>
    <row r="468" ht="15.75" customHeight="1">
      <c r="E468" s="1"/>
      <c r="F468" s="1"/>
    </row>
    <row r="469" ht="15.75" customHeight="1">
      <c r="E469" s="1"/>
      <c r="F469" s="1"/>
    </row>
    <row r="470" ht="15.75" customHeight="1">
      <c r="E470" s="1"/>
      <c r="F470" s="1"/>
    </row>
    <row r="471" ht="15.75" customHeight="1">
      <c r="E471" s="1"/>
      <c r="F471" s="1"/>
    </row>
    <row r="472" ht="15.75" customHeight="1">
      <c r="E472" s="1"/>
      <c r="F472" s="1"/>
    </row>
    <row r="473" ht="15.75" customHeight="1">
      <c r="E473" s="1"/>
      <c r="F473" s="1"/>
    </row>
    <row r="474" ht="15.75" customHeight="1">
      <c r="E474" s="1"/>
      <c r="F474" s="1"/>
    </row>
    <row r="475" ht="15.75" customHeight="1">
      <c r="E475" s="1"/>
      <c r="F475" s="1"/>
    </row>
    <row r="476" ht="15.75" customHeight="1">
      <c r="E476" s="1"/>
      <c r="F476" s="1"/>
    </row>
    <row r="477" ht="15.75" customHeight="1">
      <c r="E477" s="1"/>
      <c r="F477" s="1"/>
    </row>
    <row r="478" ht="15.75" customHeight="1">
      <c r="E478" s="1"/>
      <c r="F478" s="1"/>
    </row>
    <row r="479" ht="15.75" customHeight="1">
      <c r="E479" s="1"/>
      <c r="F479" s="1"/>
    </row>
    <row r="480" ht="15.75" customHeight="1">
      <c r="E480" s="1"/>
      <c r="F480" s="1"/>
    </row>
    <row r="481" ht="15.75" customHeight="1">
      <c r="E481" s="1"/>
      <c r="F481" s="1"/>
    </row>
    <row r="482" ht="15.75" customHeight="1">
      <c r="E482" s="1"/>
      <c r="F482" s="1"/>
    </row>
    <row r="483" ht="15.75" customHeight="1">
      <c r="E483" s="1"/>
      <c r="F483" s="1"/>
    </row>
    <row r="484" ht="15.75" customHeight="1">
      <c r="E484" s="1"/>
      <c r="F484" s="1"/>
    </row>
    <row r="485" ht="15.75" customHeight="1">
      <c r="E485" s="1"/>
      <c r="F485" s="1"/>
    </row>
    <row r="486" ht="15.75" customHeight="1">
      <c r="E486" s="1"/>
      <c r="F486" s="1"/>
    </row>
    <row r="487" ht="15.75" customHeight="1">
      <c r="E487" s="1"/>
      <c r="F487" s="1"/>
    </row>
    <row r="488" ht="15.75" customHeight="1">
      <c r="E488" s="1"/>
      <c r="F488" s="1"/>
    </row>
    <row r="489" ht="15.75" customHeight="1">
      <c r="E489" s="1"/>
      <c r="F489" s="1"/>
    </row>
    <row r="490" ht="15.75" customHeight="1">
      <c r="E490" s="1"/>
      <c r="F490" s="1"/>
    </row>
    <row r="491" ht="15.75" customHeight="1">
      <c r="E491" s="1"/>
      <c r="F491" s="1"/>
    </row>
    <row r="492" ht="15.75" customHeight="1">
      <c r="E492" s="1"/>
      <c r="F492" s="1"/>
    </row>
    <row r="493" ht="15.75" customHeight="1">
      <c r="E493" s="1"/>
      <c r="F493" s="1"/>
    </row>
    <row r="494" ht="15.75" customHeight="1">
      <c r="E494" s="1"/>
      <c r="F494" s="1"/>
    </row>
    <row r="495" ht="15.75" customHeight="1">
      <c r="E495" s="1"/>
      <c r="F495" s="1"/>
    </row>
    <row r="496" ht="15.75" customHeight="1">
      <c r="E496" s="1"/>
      <c r="F496" s="1"/>
    </row>
    <row r="497" ht="15.75" customHeight="1">
      <c r="E497" s="1"/>
      <c r="F497" s="1"/>
    </row>
    <row r="498" ht="15.75" customHeight="1">
      <c r="E498" s="1"/>
      <c r="F498" s="1"/>
    </row>
    <row r="499" ht="15.75" customHeight="1">
      <c r="E499" s="1"/>
      <c r="F499" s="1"/>
    </row>
    <row r="500" ht="15.75" customHeight="1">
      <c r="E500" s="1"/>
      <c r="F500" s="1"/>
    </row>
    <row r="501" ht="15.75" customHeight="1">
      <c r="E501" s="1"/>
      <c r="F501" s="1"/>
    </row>
    <row r="502" ht="15.75" customHeight="1">
      <c r="E502" s="1"/>
      <c r="F502" s="1"/>
    </row>
    <row r="503" ht="15.75" customHeight="1">
      <c r="E503" s="1"/>
      <c r="F503" s="1"/>
    </row>
    <row r="504" ht="15.75" customHeight="1">
      <c r="E504" s="1"/>
      <c r="F504" s="1"/>
    </row>
    <row r="505" ht="15.75" customHeight="1">
      <c r="E505" s="1"/>
      <c r="F505" s="1"/>
    </row>
    <row r="506" ht="15.75" customHeight="1">
      <c r="E506" s="1"/>
      <c r="F506" s="1"/>
    </row>
    <row r="507" ht="15.75" customHeight="1">
      <c r="E507" s="1"/>
      <c r="F507" s="1"/>
    </row>
    <row r="508" ht="15.75" customHeight="1">
      <c r="E508" s="1"/>
      <c r="F508" s="1"/>
    </row>
    <row r="509" ht="15.75" customHeight="1">
      <c r="E509" s="1"/>
      <c r="F509" s="1"/>
    </row>
    <row r="510" ht="15.75" customHeight="1">
      <c r="E510" s="1"/>
      <c r="F510" s="1"/>
    </row>
    <row r="511" ht="15.75" customHeight="1">
      <c r="E511" s="1"/>
      <c r="F511" s="1"/>
    </row>
    <row r="512" ht="15.75" customHeight="1">
      <c r="E512" s="1"/>
      <c r="F512" s="1"/>
    </row>
    <row r="513" ht="15.75" customHeight="1">
      <c r="E513" s="1"/>
      <c r="F513" s="1"/>
    </row>
    <row r="514" ht="15.75" customHeight="1">
      <c r="E514" s="1"/>
      <c r="F514" s="1"/>
    </row>
    <row r="515" ht="15.75" customHeight="1">
      <c r="E515" s="1"/>
      <c r="F515" s="1"/>
    </row>
    <row r="516" ht="15.75" customHeight="1">
      <c r="E516" s="1"/>
      <c r="F516" s="1"/>
    </row>
    <row r="517" ht="15.75" customHeight="1">
      <c r="E517" s="1"/>
      <c r="F517" s="1"/>
    </row>
    <row r="518" ht="15.75" customHeight="1">
      <c r="E518" s="1"/>
      <c r="F518" s="1"/>
    </row>
    <row r="519" ht="15.75" customHeight="1">
      <c r="E519" s="1"/>
      <c r="F519" s="1"/>
    </row>
    <row r="520" ht="15.75" customHeight="1">
      <c r="E520" s="1"/>
      <c r="F520" s="1"/>
    </row>
    <row r="521" ht="15.75" customHeight="1">
      <c r="E521" s="1"/>
      <c r="F521" s="1"/>
    </row>
    <row r="522" ht="15.75" customHeight="1">
      <c r="E522" s="1"/>
      <c r="F522" s="1"/>
    </row>
    <row r="523" ht="15.75" customHeight="1">
      <c r="E523" s="1"/>
      <c r="F523" s="1"/>
    </row>
    <row r="524" ht="15.75" customHeight="1">
      <c r="E524" s="1"/>
      <c r="F524" s="1"/>
    </row>
    <row r="525" ht="15.75" customHeight="1">
      <c r="E525" s="1"/>
      <c r="F525" s="1"/>
    </row>
    <row r="526" ht="15.75" customHeight="1">
      <c r="E526" s="1"/>
      <c r="F526" s="1"/>
    </row>
    <row r="527" ht="15.75" customHeight="1">
      <c r="E527" s="1"/>
      <c r="F527" s="1"/>
    </row>
    <row r="528" ht="15.75" customHeight="1">
      <c r="E528" s="1"/>
      <c r="F528" s="1"/>
    </row>
    <row r="529" ht="15.75" customHeight="1">
      <c r="E529" s="1"/>
      <c r="F529" s="1"/>
    </row>
    <row r="530" ht="15.75" customHeight="1">
      <c r="E530" s="1"/>
      <c r="F530" s="1"/>
    </row>
    <row r="531" ht="15.75" customHeight="1">
      <c r="E531" s="1"/>
      <c r="F531" s="1"/>
    </row>
    <row r="532" ht="15.75" customHeight="1">
      <c r="E532" s="1"/>
      <c r="F532" s="1"/>
    </row>
    <row r="533" ht="15.75" customHeight="1">
      <c r="E533" s="1"/>
      <c r="F533" s="1"/>
    </row>
    <row r="534" ht="15.75" customHeight="1">
      <c r="E534" s="1"/>
      <c r="F534" s="1"/>
    </row>
    <row r="535" ht="15.75" customHeight="1">
      <c r="E535" s="1"/>
      <c r="F535" s="1"/>
    </row>
    <row r="536" ht="15.75" customHeight="1">
      <c r="E536" s="1"/>
      <c r="F536" s="1"/>
    </row>
    <row r="537" ht="15.75" customHeight="1">
      <c r="E537" s="1"/>
      <c r="F537" s="1"/>
    </row>
    <row r="538" ht="15.75" customHeight="1">
      <c r="E538" s="1"/>
      <c r="F538" s="1"/>
    </row>
    <row r="539" ht="15.75" customHeight="1">
      <c r="E539" s="1"/>
      <c r="F539" s="1"/>
    </row>
    <row r="540" ht="15.75" customHeight="1">
      <c r="E540" s="1"/>
      <c r="F540" s="1"/>
    </row>
    <row r="541" ht="15.75" customHeight="1">
      <c r="E541" s="1"/>
      <c r="F541" s="1"/>
    </row>
    <row r="542" ht="15.75" customHeight="1">
      <c r="E542" s="1"/>
      <c r="F542" s="1"/>
    </row>
    <row r="543" ht="15.75" customHeight="1">
      <c r="E543" s="1"/>
      <c r="F543" s="1"/>
    </row>
    <row r="544" ht="15.75" customHeight="1">
      <c r="E544" s="1"/>
      <c r="F544" s="1"/>
    </row>
    <row r="545" ht="15.75" customHeight="1">
      <c r="E545" s="1"/>
      <c r="F545" s="1"/>
    </row>
    <row r="546" ht="15.75" customHeight="1">
      <c r="E546" s="1"/>
      <c r="F546" s="1"/>
    </row>
    <row r="547" ht="15.75" customHeight="1">
      <c r="E547" s="1"/>
      <c r="F547" s="1"/>
    </row>
    <row r="548" ht="15.75" customHeight="1">
      <c r="E548" s="1"/>
      <c r="F548" s="1"/>
    </row>
    <row r="549" ht="15.75" customHeight="1">
      <c r="E549" s="1"/>
      <c r="F549" s="1"/>
    </row>
    <row r="550" ht="15.75" customHeight="1">
      <c r="E550" s="1"/>
      <c r="F550" s="1"/>
    </row>
    <row r="551" ht="15.75" customHeight="1">
      <c r="E551" s="1"/>
      <c r="F551" s="1"/>
    </row>
    <row r="552" ht="15.75" customHeight="1">
      <c r="E552" s="1"/>
      <c r="F552" s="1"/>
    </row>
    <row r="553" ht="15.75" customHeight="1">
      <c r="E553" s="1"/>
      <c r="F553" s="1"/>
    </row>
    <row r="554" ht="15.75" customHeight="1">
      <c r="E554" s="1"/>
      <c r="F554" s="1"/>
    </row>
    <row r="555" ht="15.75" customHeight="1">
      <c r="E555" s="1"/>
      <c r="F555" s="1"/>
    </row>
    <row r="556" ht="15.75" customHeight="1">
      <c r="E556" s="1"/>
      <c r="F556" s="1"/>
    </row>
    <row r="557" ht="15.75" customHeight="1">
      <c r="E557" s="1"/>
      <c r="F557" s="1"/>
    </row>
    <row r="558" ht="15.75" customHeight="1">
      <c r="E558" s="1"/>
      <c r="F558" s="1"/>
    </row>
    <row r="559" ht="15.75" customHeight="1">
      <c r="E559" s="1"/>
      <c r="F559" s="1"/>
    </row>
    <row r="560" ht="15.75" customHeight="1">
      <c r="E560" s="1"/>
      <c r="F560" s="1"/>
    </row>
    <row r="561" ht="15.75" customHeight="1">
      <c r="E561" s="1"/>
      <c r="F561" s="1"/>
    </row>
    <row r="562" ht="15.75" customHeight="1">
      <c r="E562" s="1"/>
      <c r="F562" s="1"/>
    </row>
    <row r="563" ht="15.75" customHeight="1">
      <c r="E563" s="1"/>
      <c r="F563" s="1"/>
    </row>
    <row r="564" ht="15.75" customHeight="1">
      <c r="E564" s="1"/>
      <c r="F564" s="1"/>
    </row>
    <row r="565" ht="15.75" customHeight="1">
      <c r="E565" s="1"/>
      <c r="F565" s="1"/>
    </row>
    <row r="566" ht="15.75" customHeight="1">
      <c r="E566" s="1"/>
      <c r="F566" s="1"/>
    </row>
    <row r="567" ht="15.75" customHeight="1">
      <c r="E567" s="1"/>
      <c r="F567" s="1"/>
    </row>
    <row r="568" ht="15.75" customHeight="1">
      <c r="E568" s="1"/>
      <c r="F568" s="1"/>
    </row>
    <row r="569" ht="15.75" customHeight="1">
      <c r="E569" s="1"/>
      <c r="F569" s="1"/>
    </row>
    <row r="570" ht="15.75" customHeight="1">
      <c r="E570" s="1"/>
      <c r="F570" s="1"/>
    </row>
    <row r="571" ht="15.75" customHeight="1">
      <c r="E571" s="1"/>
      <c r="F571" s="1"/>
    </row>
    <row r="572" ht="15.75" customHeight="1">
      <c r="E572" s="1"/>
      <c r="F572" s="1"/>
    </row>
    <row r="573" ht="15.75" customHeight="1">
      <c r="E573" s="1"/>
      <c r="F573" s="1"/>
    </row>
    <row r="574" ht="15.75" customHeight="1">
      <c r="E574" s="1"/>
      <c r="F574" s="1"/>
    </row>
    <row r="575" ht="15.75" customHeight="1">
      <c r="E575" s="1"/>
      <c r="F575" s="1"/>
    </row>
    <row r="576" ht="15.75" customHeight="1">
      <c r="E576" s="1"/>
      <c r="F576" s="1"/>
    </row>
    <row r="577" ht="15.75" customHeight="1">
      <c r="E577" s="1"/>
      <c r="F577" s="1"/>
    </row>
    <row r="578" ht="15.75" customHeight="1">
      <c r="E578" s="1"/>
      <c r="F578" s="1"/>
    </row>
    <row r="579" ht="15.75" customHeight="1">
      <c r="E579" s="1"/>
      <c r="F579" s="1"/>
    </row>
    <row r="580" ht="15.75" customHeight="1">
      <c r="E580" s="1"/>
      <c r="F580" s="1"/>
    </row>
    <row r="581" ht="15.75" customHeight="1">
      <c r="E581" s="1"/>
      <c r="F581" s="1"/>
    </row>
    <row r="582" ht="15.75" customHeight="1">
      <c r="E582" s="1"/>
      <c r="F582" s="1"/>
    </row>
    <row r="583" ht="15.75" customHeight="1">
      <c r="E583" s="1"/>
      <c r="F583" s="1"/>
    </row>
    <row r="584" ht="15.75" customHeight="1">
      <c r="E584" s="1"/>
      <c r="F584" s="1"/>
    </row>
    <row r="585" ht="15.75" customHeight="1">
      <c r="E585" s="1"/>
      <c r="F585" s="1"/>
    </row>
    <row r="586" ht="15.75" customHeight="1">
      <c r="E586" s="1"/>
      <c r="F586" s="1"/>
    </row>
    <row r="587" ht="15.75" customHeight="1">
      <c r="E587" s="1"/>
      <c r="F587" s="1"/>
    </row>
    <row r="588" ht="15.75" customHeight="1">
      <c r="E588" s="1"/>
      <c r="F588" s="1"/>
    </row>
    <row r="589" ht="15.75" customHeight="1">
      <c r="E589" s="1"/>
      <c r="F589" s="1"/>
    </row>
    <row r="590" ht="15.75" customHeight="1">
      <c r="E590" s="1"/>
      <c r="F590" s="1"/>
    </row>
    <row r="591" ht="15.75" customHeight="1">
      <c r="E591" s="1"/>
      <c r="F591" s="1"/>
    </row>
    <row r="592" ht="15.75" customHeight="1">
      <c r="E592" s="1"/>
      <c r="F592" s="1"/>
    </row>
    <row r="593" ht="15.75" customHeight="1">
      <c r="E593" s="1"/>
      <c r="F593" s="1"/>
    </row>
    <row r="594" ht="15.75" customHeight="1">
      <c r="E594" s="1"/>
      <c r="F594" s="1"/>
    </row>
    <row r="595" ht="15.75" customHeight="1">
      <c r="E595" s="1"/>
      <c r="F595" s="1"/>
    </row>
    <row r="596" ht="15.75" customHeight="1">
      <c r="E596" s="1"/>
      <c r="F596" s="1"/>
    </row>
    <row r="597" ht="15.75" customHeight="1">
      <c r="E597" s="1"/>
      <c r="F597" s="1"/>
    </row>
    <row r="598" ht="15.75" customHeight="1">
      <c r="E598" s="1"/>
      <c r="F598" s="1"/>
    </row>
    <row r="599" ht="15.75" customHeight="1">
      <c r="E599" s="1"/>
      <c r="F599" s="1"/>
    </row>
    <row r="600" ht="15.75" customHeight="1">
      <c r="E600" s="1"/>
      <c r="F600" s="1"/>
    </row>
    <row r="601" ht="15.75" customHeight="1">
      <c r="E601" s="1"/>
      <c r="F601" s="1"/>
    </row>
    <row r="602" ht="15.75" customHeight="1">
      <c r="E602" s="1"/>
      <c r="F602" s="1"/>
    </row>
    <row r="603" ht="15.75" customHeight="1">
      <c r="E603" s="1"/>
      <c r="F603" s="1"/>
    </row>
    <row r="604" ht="15.75" customHeight="1">
      <c r="E604" s="1"/>
      <c r="F604" s="1"/>
    </row>
    <row r="605" ht="15.75" customHeight="1">
      <c r="E605" s="1"/>
      <c r="F605" s="1"/>
    </row>
    <row r="606" ht="15.75" customHeight="1">
      <c r="E606" s="1"/>
      <c r="F606" s="1"/>
    </row>
    <row r="607" ht="15.75" customHeight="1">
      <c r="E607" s="1"/>
      <c r="F607" s="1"/>
    </row>
    <row r="608" ht="15.75" customHeight="1">
      <c r="E608" s="1"/>
      <c r="F608" s="1"/>
    </row>
    <row r="609" ht="15.75" customHeight="1">
      <c r="E609" s="1"/>
      <c r="F609" s="1"/>
    </row>
    <row r="610" ht="15.75" customHeight="1">
      <c r="E610" s="1"/>
      <c r="F610" s="1"/>
    </row>
    <row r="611" ht="15.75" customHeight="1">
      <c r="E611" s="1"/>
      <c r="F611" s="1"/>
    </row>
    <row r="612" ht="15.75" customHeight="1">
      <c r="E612" s="1"/>
      <c r="F612" s="1"/>
    </row>
    <row r="613" ht="15.75" customHeight="1">
      <c r="E613" s="1"/>
      <c r="F613" s="1"/>
    </row>
    <row r="614" ht="15.75" customHeight="1">
      <c r="E614" s="1"/>
      <c r="F614" s="1"/>
    </row>
    <row r="615" ht="15.75" customHeight="1">
      <c r="E615" s="1"/>
      <c r="F615" s="1"/>
    </row>
    <row r="616" ht="15.75" customHeight="1">
      <c r="E616" s="1"/>
      <c r="F616" s="1"/>
    </row>
    <row r="617" ht="15.75" customHeight="1">
      <c r="E617" s="1"/>
      <c r="F617" s="1"/>
    </row>
    <row r="618" ht="15.75" customHeight="1">
      <c r="E618" s="1"/>
      <c r="F618" s="1"/>
    </row>
    <row r="619" ht="15.75" customHeight="1">
      <c r="E619" s="1"/>
      <c r="F619" s="1"/>
    </row>
    <row r="620" ht="15.75" customHeight="1">
      <c r="E620" s="1"/>
      <c r="F620" s="1"/>
    </row>
    <row r="621" ht="15.75" customHeight="1">
      <c r="E621" s="1"/>
      <c r="F621" s="1"/>
    </row>
    <row r="622" ht="15.75" customHeight="1">
      <c r="E622" s="1"/>
      <c r="F622" s="1"/>
    </row>
    <row r="623" ht="15.75" customHeight="1">
      <c r="E623" s="1"/>
      <c r="F623" s="1"/>
    </row>
    <row r="624" ht="15.75" customHeight="1">
      <c r="E624" s="1"/>
      <c r="F624" s="1"/>
    </row>
    <row r="625" ht="15.75" customHeight="1">
      <c r="E625" s="1"/>
      <c r="F625" s="1"/>
    </row>
    <row r="626" ht="15.75" customHeight="1">
      <c r="E626" s="1"/>
      <c r="F626" s="1"/>
    </row>
    <row r="627" ht="15.75" customHeight="1">
      <c r="E627" s="1"/>
      <c r="F627" s="1"/>
    </row>
    <row r="628" ht="15.75" customHeight="1">
      <c r="E628" s="1"/>
      <c r="F628" s="1"/>
    </row>
    <row r="629" ht="15.75" customHeight="1">
      <c r="E629" s="1"/>
      <c r="F629" s="1"/>
    </row>
    <row r="630" ht="15.75" customHeight="1">
      <c r="E630" s="1"/>
      <c r="F630" s="1"/>
    </row>
    <row r="631" ht="15.75" customHeight="1">
      <c r="E631" s="1"/>
      <c r="F631" s="1"/>
    </row>
    <row r="632" ht="15.75" customHeight="1">
      <c r="E632" s="1"/>
      <c r="F632" s="1"/>
    </row>
    <row r="633" ht="15.75" customHeight="1">
      <c r="E633" s="1"/>
      <c r="F633" s="1"/>
    </row>
    <row r="634" ht="15.75" customHeight="1">
      <c r="E634" s="1"/>
      <c r="F634" s="1"/>
    </row>
    <row r="635" ht="15.75" customHeight="1">
      <c r="E635" s="1"/>
      <c r="F635" s="1"/>
    </row>
    <row r="636" ht="15.75" customHeight="1">
      <c r="E636" s="1"/>
      <c r="F636" s="1"/>
    </row>
    <row r="637" ht="15.75" customHeight="1">
      <c r="E637" s="1"/>
      <c r="F637" s="1"/>
    </row>
    <row r="638" ht="15.75" customHeight="1">
      <c r="E638" s="1"/>
      <c r="F638" s="1"/>
    </row>
    <row r="639" ht="15.75" customHeight="1">
      <c r="E639" s="1"/>
      <c r="F639" s="1"/>
    </row>
    <row r="640" ht="15.75" customHeight="1">
      <c r="E640" s="1"/>
      <c r="F640" s="1"/>
    </row>
    <row r="641" ht="15.75" customHeight="1">
      <c r="E641" s="1"/>
      <c r="F641" s="1"/>
    </row>
    <row r="642" ht="15.75" customHeight="1">
      <c r="E642" s="1"/>
      <c r="F642" s="1"/>
    </row>
    <row r="643" ht="15.75" customHeight="1">
      <c r="E643" s="1"/>
      <c r="F643" s="1"/>
    </row>
    <row r="644" ht="15.75" customHeight="1">
      <c r="E644" s="1"/>
      <c r="F644" s="1"/>
    </row>
    <row r="645" ht="15.75" customHeight="1">
      <c r="E645" s="1"/>
      <c r="F645" s="1"/>
    </row>
    <row r="646" ht="15.75" customHeight="1">
      <c r="E646" s="1"/>
      <c r="F646" s="1"/>
    </row>
    <row r="647" ht="15.75" customHeight="1">
      <c r="E647" s="1"/>
      <c r="F647" s="1"/>
    </row>
    <row r="648" ht="15.75" customHeight="1">
      <c r="E648" s="1"/>
      <c r="F648" s="1"/>
    </row>
    <row r="649" ht="15.75" customHeight="1">
      <c r="E649" s="1"/>
      <c r="F649" s="1"/>
    </row>
    <row r="650" ht="15.75" customHeight="1">
      <c r="E650" s="1"/>
      <c r="F650" s="1"/>
    </row>
    <row r="651" ht="15.75" customHeight="1">
      <c r="E651" s="1"/>
      <c r="F651" s="1"/>
    </row>
    <row r="652" ht="15.75" customHeight="1">
      <c r="E652" s="1"/>
      <c r="F652" s="1"/>
    </row>
    <row r="653" ht="15.75" customHeight="1">
      <c r="E653" s="1"/>
      <c r="F653" s="1"/>
    </row>
    <row r="654" ht="15.75" customHeight="1">
      <c r="E654" s="1"/>
      <c r="F654" s="1"/>
    </row>
    <row r="655" ht="15.75" customHeight="1">
      <c r="E655" s="1"/>
      <c r="F655" s="1"/>
    </row>
    <row r="656" ht="15.75" customHeight="1">
      <c r="E656" s="1"/>
      <c r="F656" s="1"/>
    </row>
    <row r="657" ht="15.75" customHeight="1">
      <c r="E657" s="1"/>
      <c r="F657" s="1"/>
    </row>
    <row r="658" ht="15.75" customHeight="1">
      <c r="E658" s="1"/>
      <c r="F658" s="1"/>
    </row>
    <row r="659" ht="15.75" customHeight="1">
      <c r="E659" s="1"/>
      <c r="F659" s="1"/>
    </row>
    <row r="660" ht="15.75" customHeight="1">
      <c r="E660" s="1"/>
      <c r="F660" s="1"/>
    </row>
    <row r="661" ht="15.75" customHeight="1">
      <c r="E661" s="1"/>
      <c r="F661" s="1"/>
    </row>
    <row r="662" ht="15.75" customHeight="1">
      <c r="E662" s="1"/>
      <c r="F662" s="1"/>
    </row>
    <row r="663" ht="15.75" customHeight="1">
      <c r="E663" s="1"/>
      <c r="F663" s="1"/>
    </row>
    <row r="664" ht="15.75" customHeight="1">
      <c r="E664" s="1"/>
      <c r="F664" s="1"/>
    </row>
    <row r="665" ht="15.75" customHeight="1">
      <c r="E665" s="1"/>
      <c r="F665" s="1"/>
    </row>
    <row r="666" ht="15.75" customHeight="1">
      <c r="E666" s="1"/>
      <c r="F666" s="1"/>
    </row>
    <row r="667" ht="15.75" customHeight="1">
      <c r="E667" s="1"/>
      <c r="F667" s="1"/>
    </row>
    <row r="668" ht="15.75" customHeight="1">
      <c r="E668" s="1"/>
      <c r="F668" s="1"/>
    </row>
    <row r="669" ht="15.75" customHeight="1">
      <c r="E669" s="1"/>
      <c r="F669" s="1"/>
    </row>
    <row r="670" ht="15.75" customHeight="1">
      <c r="E670" s="1"/>
      <c r="F670" s="1"/>
    </row>
    <row r="671" ht="15.75" customHeight="1">
      <c r="E671" s="1"/>
      <c r="F671" s="1"/>
    </row>
    <row r="672" ht="15.75" customHeight="1">
      <c r="E672" s="1"/>
      <c r="F672" s="1"/>
    </row>
    <row r="673" ht="15.75" customHeight="1">
      <c r="E673" s="1"/>
      <c r="F673" s="1"/>
    </row>
    <row r="674" ht="15.75" customHeight="1">
      <c r="E674" s="1"/>
      <c r="F674" s="1"/>
    </row>
    <row r="675" ht="15.75" customHeight="1">
      <c r="E675" s="1"/>
      <c r="F675" s="1"/>
    </row>
    <row r="676" ht="15.75" customHeight="1">
      <c r="E676" s="1"/>
      <c r="F676" s="1"/>
    </row>
    <row r="677" ht="15.75" customHeight="1">
      <c r="E677" s="1"/>
      <c r="F677" s="1"/>
    </row>
    <row r="678" ht="15.75" customHeight="1">
      <c r="E678" s="1"/>
      <c r="F678" s="1"/>
    </row>
    <row r="679" ht="15.75" customHeight="1">
      <c r="E679" s="1"/>
      <c r="F679" s="1"/>
    </row>
    <row r="680" ht="15.75" customHeight="1">
      <c r="E680" s="1"/>
      <c r="F680" s="1"/>
    </row>
    <row r="681" ht="15.75" customHeight="1">
      <c r="E681" s="1"/>
      <c r="F681" s="1"/>
    </row>
    <row r="682" ht="15.75" customHeight="1">
      <c r="E682" s="1"/>
      <c r="F682" s="1"/>
    </row>
    <row r="683" ht="15.75" customHeight="1">
      <c r="E683" s="1"/>
      <c r="F683" s="1"/>
    </row>
    <row r="684" ht="15.75" customHeight="1">
      <c r="E684" s="1"/>
      <c r="F684" s="1"/>
    </row>
    <row r="685" ht="15.75" customHeight="1">
      <c r="E685" s="1"/>
      <c r="F685" s="1"/>
    </row>
    <row r="686" ht="15.75" customHeight="1">
      <c r="E686" s="1"/>
      <c r="F686" s="1"/>
    </row>
    <row r="687" ht="15.75" customHeight="1">
      <c r="E687" s="1"/>
      <c r="F687" s="1"/>
    </row>
    <row r="688" ht="15.75" customHeight="1">
      <c r="E688" s="1"/>
      <c r="F688" s="1"/>
    </row>
    <row r="689" ht="15.75" customHeight="1">
      <c r="E689" s="1"/>
      <c r="F689" s="1"/>
    </row>
    <row r="690" ht="15.75" customHeight="1">
      <c r="E690" s="1"/>
      <c r="F690" s="1"/>
    </row>
    <row r="691" ht="15.75" customHeight="1">
      <c r="E691" s="1"/>
      <c r="F691" s="1"/>
    </row>
    <row r="692" ht="15.75" customHeight="1">
      <c r="E692" s="1"/>
      <c r="F692" s="1"/>
    </row>
    <row r="693" ht="15.75" customHeight="1">
      <c r="E693" s="1"/>
      <c r="F693" s="1"/>
    </row>
    <row r="694" ht="15.75" customHeight="1">
      <c r="E694" s="1"/>
      <c r="F694" s="1"/>
    </row>
    <row r="695" ht="15.75" customHeight="1">
      <c r="E695" s="1"/>
      <c r="F695" s="1"/>
    </row>
    <row r="696" ht="15.75" customHeight="1">
      <c r="E696" s="1"/>
      <c r="F696" s="1"/>
    </row>
    <row r="697" ht="15.75" customHeight="1">
      <c r="E697" s="1"/>
      <c r="F697" s="1"/>
    </row>
    <row r="698" ht="15.75" customHeight="1">
      <c r="E698" s="1"/>
      <c r="F698" s="1"/>
    </row>
    <row r="699" ht="15.75" customHeight="1">
      <c r="E699" s="1"/>
      <c r="F699" s="1"/>
    </row>
    <row r="700" ht="15.75" customHeight="1">
      <c r="E700" s="1"/>
      <c r="F700" s="1"/>
    </row>
    <row r="701" ht="15.75" customHeight="1">
      <c r="E701" s="1"/>
      <c r="F701" s="1"/>
    </row>
    <row r="702" ht="15.75" customHeight="1">
      <c r="E702" s="1"/>
      <c r="F702" s="1"/>
    </row>
    <row r="703" ht="15.75" customHeight="1">
      <c r="E703" s="1"/>
      <c r="F703" s="1"/>
    </row>
    <row r="704" ht="15.75" customHeight="1">
      <c r="E704" s="1"/>
      <c r="F704" s="1"/>
    </row>
    <row r="705" ht="15.75" customHeight="1">
      <c r="E705" s="1"/>
      <c r="F705" s="1"/>
    </row>
    <row r="706" ht="15.75" customHeight="1">
      <c r="E706" s="1"/>
      <c r="F706" s="1"/>
    </row>
    <row r="707" ht="15.75" customHeight="1">
      <c r="E707" s="1"/>
      <c r="F707" s="1"/>
    </row>
    <row r="708" ht="15.75" customHeight="1">
      <c r="E708" s="1"/>
      <c r="F708" s="1"/>
    </row>
    <row r="709" ht="15.75" customHeight="1">
      <c r="E709" s="1"/>
      <c r="F709" s="1"/>
    </row>
    <row r="710" ht="15.75" customHeight="1">
      <c r="E710" s="1"/>
      <c r="F710" s="1"/>
    </row>
    <row r="711" ht="15.75" customHeight="1">
      <c r="E711" s="1"/>
      <c r="F711" s="1"/>
    </row>
    <row r="712" ht="15.75" customHeight="1">
      <c r="E712" s="1"/>
      <c r="F712" s="1"/>
    </row>
    <row r="713" ht="15.75" customHeight="1">
      <c r="E713" s="1"/>
      <c r="F713" s="1"/>
    </row>
    <row r="714" ht="15.75" customHeight="1">
      <c r="E714" s="1"/>
      <c r="F714" s="1"/>
    </row>
    <row r="715" ht="15.75" customHeight="1">
      <c r="E715" s="1"/>
      <c r="F715" s="1"/>
    </row>
    <row r="716" ht="15.75" customHeight="1">
      <c r="E716" s="1"/>
      <c r="F716" s="1"/>
    </row>
    <row r="717" ht="15.75" customHeight="1">
      <c r="E717" s="1"/>
      <c r="F717" s="1"/>
    </row>
    <row r="718" ht="15.75" customHeight="1">
      <c r="E718" s="1"/>
      <c r="F718" s="1"/>
    </row>
    <row r="719" ht="15.75" customHeight="1">
      <c r="E719" s="1"/>
      <c r="F719" s="1"/>
    </row>
    <row r="720" ht="15.75" customHeight="1">
      <c r="E720" s="1"/>
      <c r="F720" s="1"/>
    </row>
    <row r="721" ht="15.75" customHeight="1">
      <c r="E721" s="1"/>
      <c r="F721" s="1"/>
    </row>
    <row r="722" ht="15.75" customHeight="1">
      <c r="E722" s="1"/>
      <c r="F722" s="1"/>
    </row>
    <row r="723" ht="15.75" customHeight="1">
      <c r="E723" s="1"/>
      <c r="F723" s="1"/>
    </row>
    <row r="724" ht="15.75" customHeight="1">
      <c r="E724" s="1"/>
      <c r="F724" s="1"/>
    </row>
    <row r="725" ht="15.75" customHeight="1">
      <c r="E725" s="1"/>
      <c r="F725" s="1"/>
    </row>
    <row r="726" ht="15.75" customHeight="1">
      <c r="E726" s="1"/>
      <c r="F726" s="1"/>
    </row>
    <row r="727" ht="15.75" customHeight="1">
      <c r="E727" s="1"/>
      <c r="F727" s="1"/>
    </row>
    <row r="728" ht="15.75" customHeight="1">
      <c r="E728" s="1"/>
      <c r="F728" s="1"/>
    </row>
    <row r="729" ht="15.75" customHeight="1">
      <c r="E729" s="1"/>
      <c r="F729" s="1"/>
    </row>
    <row r="730" ht="15.75" customHeight="1">
      <c r="E730" s="1"/>
      <c r="F730" s="1"/>
    </row>
    <row r="731" ht="15.75" customHeight="1">
      <c r="E731" s="1"/>
      <c r="F731" s="1"/>
    </row>
    <row r="732" ht="15.75" customHeight="1">
      <c r="E732" s="1"/>
      <c r="F732" s="1"/>
    </row>
    <row r="733" ht="15.75" customHeight="1">
      <c r="E733" s="1"/>
      <c r="F733" s="1"/>
    </row>
    <row r="734" ht="15.75" customHeight="1">
      <c r="E734" s="1"/>
      <c r="F734" s="1"/>
    </row>
    <row r="735" ht="15.75" customHeight="1">
      <c r="E735" s="1"/>
      <c r="F735" s="1"/>
    </row>
    <row r="736" ht="15.75" customHeight="1">
      <c r="E736" s="1"/>
      <c r="F736" s="1"/>
    </row>
    <row r="737" ht="15.75" customHeight="1">
      <c r="E737" s="1"/>
      <c r="F737" s="1"/>
    </row>
    <row r="738" ht="15.75" customHeight="1">
      <c r="E738" s="1"/>
      <c r="F738" s="1"/>
    </row>
    <row r="739" ht="15.75" customHeight="1">
      <c r="E739" s="1"/>
      <c r="F739" s="1"/>
    </row>
    <row r="740" ht="15.75" customHeight="1">
      <c r="E740" s="1"/>
      <c r="F740" s="1"/>
    </row>
    <row r="741" ht="15.75" customHeight="1">
      <c r="E741" s="1"/>
      <c r="F741" s="1"/>
    </row>
    <row r="742" ht="15.75" customHeight="1">
      <c r="E742" s="1"/>
      <c r="F742" s="1"/>
    </row>
    <row r="743" ht="15.75" customHeight="1">
      <c r="E743" s="1"/>
      <c r="F743" s="1"/>
    </row>
    <row r="744" ht="15.75" customHeight="1">
      <c r="E744" s="1"/>
      <c r="F744" s="1"/>
    </row>
    <row r="745" ht="15.75" customHeight="1">
      <c r="E745" s="1"/>
      <c r="F745" s="1"/>
    </row>
    <row r="746" ht="15.75" customHeight="1">
      <c r="E746" s="1"/>
      <c r="F746" s="1"/>
    </row>
    <row r="747" ht="15.75" customHeight="1">
      <c r="E747" s="1"/>
      <c r="F747" s="1"/>
    </row>
    <row r="748" ht="15.75" customHeight="1">
      <c r="E748" s="1"/>
      <c r="F748" s="1"/>
    </row>
    <row r="749" ht="15.75" customHeight="1">
      <c r="E749" s="1"/>
      <c r="F749" s="1"/>
    </row>
    <row r="750" ht="15.75" customHeight="1">
      <c r="E750" s="1"/>
      <c r="F750" s="1"/>
    </row>
    <row r="751" ht="15.75" customHeight="1">
      <c r="E751" s="1"/>
      <c r="F751" s="1"/>
    </row>
    <row r="752" ht="15.75" customHeight="1">
      <c r="E752" s="1"/>
      <c r="F752" s="1"/>
    </row>
    <row r="753" ht="15.75" customHeight="1">
      <c r="E753" s="1"/>
      <c r="F753" s="1"/>
    </row>
    <row r="754" ht="15.75" customHeight="1">
      <c r="E754" s="1"/>
      <c r="F754" s="1"/>
    </row>
    <row r="755" ht="15.75" customHeight="1">
      <c r="E755" s="1"/>
      <c r="F755" s="1"/>
    </row>
    <row r="756" ht="15.75" customHeight="1">
      <c r="E756" s="1"/>
      <c r="F756" s="1"/>
    </row>
    <row r="757" ht="15.75" customHeight="1">
      <c r="E757" s="1"/>
      <c r="F757" s="1"/>
    </row>
    <row r="758" ht="15.75" customHeight="1">
      <c r="E758" s="1"/>
      <c r="F758" s="1"/>
    </row>
    <row r="759" ht="15.75" customHeight="1">
      <c r="E759" s="1"/>
      <c r="F759" s="1"/>
    </row>
    <row r="760" ht="15.75" customHeight="1">
      <c r="E760" s="1"/>
      <c r="F760" s="1"/>
    </row>
    <row r="761" ht="15.75" customHeight="1">
      <c r="E761" s="1"/>
      <c r="F761" s="1"/>
    </row>
    <row r="762" ht="15.75" customHeight="1">
      <c r="E762" s="1"/>
      <c r="F762" s="1"/>
    </row>
    <row r="763" ht="15.75" customHeight="1">
      <c r="E763" s="1"/>
      <c r="F763" s="1"/>
    </row>
    <row r="764" ht="15.75" customHeight="1">
      <c r="E764" s="1"/>
      <c r="F764" s="1"/>
    </row>
    <row r="765" ht="15.75" customHeight="1">
      <c r="E765" s="1"/>
      <c r="F765" s="1"/>
    </row>
    <row r="766" ht="15.75" customHeight="1">
      <c r="E766" s="1"/>
      <c r="F766" s="1"/>
    </row>
    <row r="767" ht="15.75" customHeight="1">
      <c r="E767" s="1"/>
      <c r="F767" s="1"/>
    </row>
    <row r="768" ht="15.75" customHeight="1">
      <c r="E768" s="1"/>
      <c r="F768" s="1"/>
    </row>
    <row r="769" ht="15.75" customHeight="1">
      <c r="E769" s="1"/>
      <c r="F769" s="1"/>
    </row>
    <row r="770" ht="15.75" customHeight="1">
      <c r="E770" s="1"/>
      <c r="F770" s="1"/>
    </row>
    <row r="771" ht="15.75" customHeight="1">
      <c r="E771" s="1"/>
      <c r="F771" s="1"/>
    </row>
    <row r="772" ht="15.75" customHeight="1">
      <c r="E772" s="1"/>
      <c r="F772" s="1"/>
    </row>
    <row r="773" ht="15.75" customHeight="1">
      <c r="E773" s="1"/>
      <c r="F773" s="1"/>
    </row>
    <row r="774" ht="15.75" customHeight="1">
      <c r="E774" s="1"/>
      <c r="F774" s="1"/>
    </row>
    <row r="775" ht="15.75" customHeight="1">
      <c r="E775" s="1"/>
      <c r="F775" s="1"/>
    </row>
    <row r="776" ht="15.75" customHeight="1">
      <c r="E776" s="1"/>
      <c r="F776" s="1"/>
    </row>
    <row r="777" ht="15.75" customHeight="1">
      <c r="E777" s="1"/>
      <c r="F777" s="1"/>
    </row>
    <row r="778" ht="15.75" customHeight="1">
      <c r="E778" s="1"/>
      <c r="F778" s="1"/>
    </row>
    <row r="779" ht="15.75" customHeight="1">
      <c r="E779" s="1"/>
      <c r="F779" s="1"/>
    </row>
    <row r="780" ht="15.75" customHeight="1">
      <c r="E780" s="1"/>
      <c r="F780" s="1"/>
    </row>
    <row r="781" ht="15.75" customHeight="1">
      <c r="E781" s="1"/>
      <c r="F781" s="1"/>
    </row>
    <row r="782" ht="15.75" customHeight="1">
      <c r="E782" s="1"/>
      <c r="F782" s="1"/>
    </row>
    <row r="783" ht="15.75" customHeight="1">
      <c r="E783" s="1"/>
      <c r="F783" s="1"/>
    </row>
    <row r="784" ht="15.75" customHeight="1">
      <c r="E784" s="1"/>
      <c r="F784" s="1"/>
    </row>
    <row r="785" ht="15.75" customHeight="1">
      <c r="E785" s="1"/>
      <c r="F785" s="1"/>
    </row>
    <row r="786" ht="15.75" customHeight="1">
      <c r="E786" s="1"/>
      <c r="F786" s="1"/>
    </row>
    <row r="787" ht="15.75" customHeight="1">
      <c r="E787" s="1"/>
      <c r="F787" s="1"/>
    </row>
    <row r="788" ht="15.75" customHeight="1">
      <c r="E788" s="1"/>
      <c r="F788" s="1"/>
    </row>
    <row r="789" ht="15.75" customHeight="1">
      <c r="E789" s="1"/>
      <c r="F789" s="1"/>
    </row>
    <row r="790" ht="15.75" customHeight="1">
      <c r="E790" s="1"/>
      <c r="F790" s="1"/>
    </row>
    <row r="791" ht="15.75" customHeight="1">
      <c r="E791" s="1"/>
      <c r="F791" s="1"/>
    </row>
    <row r="792" ht="15.75" customHeight="1">
      <c r="E792" s="1"/>
      <c r="F792" s="1"/>
    </row>
    <row r="793" ht="15.75" customHeight="1">
      <c r="E793" s="1"/>
      <c r="F793" s="1"/>
    </row>
    <row r="794" ht="15.75" customHeight="1">
      <c r="E794" s="1"/>
      <c r="F794" s="1"/>
    </row>
    <row r="795" ht="15.75" customHeight="1">
      <c r="E795" s="1"/>
      <c r="F795" s="1"/>
    </row>
    <row r="796" ht="15.75" customHeight="1">
      <c r="E796" s="1"/>
      <c r="F796" s="1"/>
    </row>
    <row r="797" ht="15.75" customHeight="1">
      <c r="E797" s="1"/>
      <c r="F797" s="1"/>
    </row>
    <row r="798" ht="15.75" customHeight="1">
      <c r="E798" s="1"/>
      <c r="F798" s="1"/>
    </row>
    <row r="799" ht="15.75" customHeight="1">
      <c r="E799" s="1"/>
      <c r="F799" s="1"/>
    </row>
    <row r="800" ht="15.75" customHeight="1">
      <c r="E800" s="1"/>
      <c r="F800" s="1"/>
    </row>
    <row r="801" ht="15.75" customHeight="1">
      <c r="E801" s="1"/>
      <c r="F801" s="1"/>
    </row>
    <row r="802" ht="15.75" customHeight="1">
      <c r="E802" s="1"/>
      <c r="F802" s="1"/>
    </row>
    <row r="803" ht="15.75" customHeight="1">
      <c r="E803" s="1"/>
      <c r="F803" s="1"/>
    </row>
    <row r="804" ht="15.75" customHeight="1">
      <c r="E804" s="1"/>
      <c r="F804" s="1"/>
    </row>
    <row r="805" ht="15.75" customHeight="1">
      <c r="E805" s="1"/>
      <c r="F805" s="1"/>
    </row>
    <row r="806" ht="15.75" customHeight="1">
      <c r="E806" s="1"/>
      <c r="F806" s="1"/>
    </row>
    <row r="807" ht="15.75" customHeight="1">
      <c r="E807" s="1"/>
      <c r="F807" s="1"/>
    </row>
    <row r="808" ht="15.75" customHeight="1">
      <c r="E808" s="1"/>
      <c r="F808" s="1"/>
    </row>
    <row r="809" ht="15.75" customHeight="1">
      <c r="E809" s="1"/>
      <c r="F809" s="1"/>
    </row>
    <row r="810" ht="15.75" customHeight="1">
      <c r="E810" s="1"/>
      <c r="F810" s="1"/>
    </row>
    <row r="811" ht="15.75" customHeight="1">
      <c r="E811" s="1"/>
      <c r="F811" s="1"/>
    </row>
    <row r="812" ht="15.75" customHeight="1">
      <c r="E812" s="1"/>
      <c r="F812" s="1"/>
    </row>
    <row r="813" ht="15.75" customHeight="1">
      <c r="E813" s="1"/>
      <c r="F813" s="1"/>
    </row>
    <row r="814" ht="15.75" customHeight="1">
      <c r="E814" s="1"/>
      <c r="F814" s="1"/>
    </row>
    <row r="815" ht="15.75" customHeight="1">
      <c r="E815" s="1"/>
      <c r="F815" s="1"/>
    </row>
    <row r="816" ht="15.75" customHeight="1">
      <c r="E816" s="1"/>
      <c r="F816" s="1"/>
    </row>
    <row r="817" ht="15.75" customHeight="1">
      <c r="E817" s="1"/>
      <c r="F817" s="1"/>
    </row>
    <row r="818" ht="15.75" customHeight="1">
      <c r="E818" s="1"/>
      <c r="F818" s="1"/>
    </row>
    <row r="819" ht="15.75" customHeight="1">
      <c r="E819" s="1"/>
      <c r="F819" s="1"/>
    </row>
    <row r="820" ht="15.75" customHeight="1">
      <c r="E820" s="1"/>
      <c r="F820" s="1"/>
    </row>
    <row r="821" ht="15.75" customHeight="1">
      <c r="E821" s="1"/>
      <c r="F821" s="1"/>
    </row>
    <row r="822" ht="15.75" customHeight="1">
      <c r="E822" s="1"/>
      <c r="F822" s="1"/>
    </row>
    <row r="823" ht="15.75" customHeight="1">
      <c r="E823" s="1"/>
      <c r="F823" s="1"/>
    </row>
    <row r="824" ht="15.75" customHeight="1">
      <c r="E824" s="1"/>
      <c r="F824" s="1"/>
    </row>
    <row r="825" ht="15.75" customHeight="1">
      <c r="E825" s="1"/>
      <c r="F825" s="1"/>
    </row>
    <row r="826" ht="15.75" customHeight="1">
      <c r="E826" s="1"/>
      <c r="F826" s="1"/>
    </row>
    <row r="827" ht="15.75" customHeight="1">
      <c r="E827" s="1"/>
      <c r="F827" s="1"/>
    </row>
    <row r="828" ht="15.75" customHeight="1">
      <c r="E828" s="1"/>
      <c r="F828" s="1"/>
    </row>
    <row r="829" ht="15.75" customHeight="1">
      <c r="E829" s="1"/>
      <c r="F829" s="1"/>
    </row>
    <row r="830" ht="15.75" customHeight="1">
      <c r="E830" s="1"/>
      <c r="F830" s="1"/>
    </row>
    <row r="831" ht="15.75" customHeight="1">
      <c r="E831" s="1"/>
      <c r="F831" s="1"/>
    </row>
    <row r="832" ht="15.75" customHeight="1">
      <c r="E832" s="1"/>
      <c r="F832" s="1"/>
    </row>
    <row r="833" ht="15.75" customHeight="1">
      <c r="E833" s="1"/>
      <c r="F833" s="1"/>
    </row>
    <row r="834" ht="15.75" customHeight="1">
      <c r="E834" s="1"/>
      <c r="F834" s="1"/>
    </row>
    <row r="835" ht="15.75" customHeight="1">
      <c r="E835" s="1"/>
      <c r="F835" s="1"/>
    </row>
    <row r="836" ht="15.75" customHeight="1">
      <c r="E836" s="1"/>
      <c r="F836" s="1"/>
    </row>
    <row r="837" ht="15.75" customHeight="1">
      <c r="E837" s="1"/>
      <c r="F837" s="1"/>
    </row>
    <row r="838" ht="15.75" customHeight="1">
      <c r="E838" s="1"/>
      <c r="F838" s="1"/>
    </row>
    <row r="839" ht="15.75" customHeight="1">
      <c r="E839" s="1"/>
      <c r="F839" s="1"/>
    </row>
    <row r="840" ht="15.75" customHeight="1">
      <c r="E840" s="1"/>
      <c r="F840" s="1"/>
    </row>
    <row r="841" ht="15.75" customHeight="1">
      <c r="E841" s="1"/>
      <c r="F841" s="1"/>
    </row>
    <row r="842" ht="15.75" customHeight="1">
      <c r="E842" s="1"/>
      <c r="F842" s="1"/>
    </row>
    <row r="843" ht="15.75" customHeight="1">
      <c r="E843" s="1"/>
      <c r="F843" s="1"/>
    </row>
    <row r="844" ht="15.75" customHeight="1">
      <c r="E844" s="1"/>
      <c r="F844" s="1"/>
    </row>
    <row r="845" ht="15.75" customHeight="1">
      <c r="E845" s="1"/>
      <c r="F845" s="1"/>
    </row>
    <row r="846" ht="15.75" customHeight="1">
      <c r="E846" s="1"/>
      <c r="F846" s="1"/>
    </row>
    <row r="847" ht="15.75" customHeight="1">
      <c r="E847" s="1"/>
      <c r="F847" s="1"/>
    </row>
    <row r="848" ht="15.75" customHeight="1">
      <c r="E848" s="1"/>
      <c r="F848" s="1"/>
    </row>
    <row r="849" ht="15.75" customHeight="1">
      <c r="E849" s="1"/>
      <c r="F849" s="1"/>
    </row>
    <row r="850" ht="15.75" customHeight="1">
      <c r="E850" s="1"/>
      <c r="F850" s="1"/>
    </row>
    <row r="851" ht="15.75" customHeight="1">
      <c r="E851" s="1"/>
      <c r="F851" s="1"/>
    </row>
    <row r="852" ht="15.75" customHeight="1">
      <c r="E852" s="1"/>
      <c r="F852" s="1"/>
    </row>
    <row r="853" ht="15.75" customHeight="1">
      <c r="E853" s="1"/>
      <c r="F853" s="1"/>
    </row>
    <row r="854" ht="15.75" customHeight="1">
      <c r="E854" s="1"/>
      <c r="F854" s="1"/>
    </row>
    <row r="855" ht="15.75" customHeight="1">
      <c r="E855" s="1"/>
      <c r="F855" s="1"/>
    </row>
    <row r="856" ht="15.75" customHeight="1">
      <c r="E856" s="1"/>
      <c r="F856" s="1"/>
    </row>
    <row r="857" ht="15.75" customHeight="1">
      <c r="E857" s="1"/>
      <c r="F857" s="1"/>
    </row>
    <row r="858" ht="15.75" customHeight="1">
      <c r="E858" s="1"/>
      <c r="F858" s="1"/>
    </row>
    <row r="859" ht="15.75" customHeight="1">
      <c r="E859" s="1"/>
      <c r="F859" s="1"/>
    </row>
    <row r="860" ht="15.75" customHeight="1">
      <c r="E860" s="1"/>
      <c r="F860" s="1"/>
    </row>
    <row r="861" ht="15.75" customHeight="1">
      <c r="E861" s="1"/>
      <c r="F861" s="1"/>
    </row>
    <row r="862" ht="15.75" customHeight="1">
      <c r="E862" s="1"/>
      <c r="F862" s="1"/>
    </row>
    <row r="863" ht="15.75" customHeight="1">
      <c r="E863" s="1"/>
      <c r="F863" s="1"/>
    </row>
    <row r="864" ht="15.75" customHeight="1">
      <c r="E864" s="1"/>
      <c r="F864" s="1"/>
    </row>
    <row r="865" ht="15.75" customHeight="1">
      <c r="E865" s="1"/>
      <c r="F865" s="1"/>
    </row>
    <row r="866" ht="15.75" customHeight="1">
      <c r="E866" s="1"/>
      <c r="F866" s="1"/>
    </row>
    <row r="867" ht="15.75" customHeight="1">
      <c r="E867" s="1"/>
      <c r="F867" s="1"/>
    </row>
    <row r="868" ht="15.75" customHeight="1">
      <c r="E868" s="1"/>
      <c r="F868" s="1"/>
    </row>
    <row r="869" ht="15.75" customHeight="1">
      <c r="E869" s="1"/>
      <c r="F869" s="1"/>
    </row>
    <row r="870" ht="15.75" customHeight="1">
      <c r="E870" s="1"/>
      <c r="F870" s="1"/>
    </row>
    <row r="871" ht="15.75" customHeight="1">
      <c r="E871" s="1"/>
      <c r="F871" s="1"/>
    </row>
    <row r="872" ht="15.75" customHeight="1">
      <c r="E872" s="1"/>
      <c r="F872" s="1"/>
    </row>
    <row r="873" ht="15.75" customHeight="1">
      <c r="E873" s="1"/>
      <c r="F873" s="1"/>
    </row>
    <row r="874" ht="15.75" customHeight="1">
      <c r="E874" s="1"/>
      <c r="F874" s="1"/>
    </row>
    <row r="875" ht="15.75" customHeight="1">
      <c r="E875" s="1"/>
      <c r="F875" s="1"/>
    </row>
    <row r="876" ht="15.75" customHeight="1">
      <c r="E876" s="1"/>
      <c r="F876" s="1"/>
    </row>
    <row r="877" ht="15.75" customHeight="1">
      <c r="E877" s="1"/>
      <c r="F877" s="1"/>
    </row>
    <row r="878" ht="15.75" customHeight="1">
      <c r="E878" s="1"/>
      <c r="F878" s="1"/>
    </row>
    <row r="879" ht="15.75" customHeight="1">
      <c r="E879" s="1"/>
      <c r="F879" s="1"/>
    </row>
    <row r="880" ht="15.75" customHeight="1">
      <c r="E880" s="1"/>
      <c r="F880" s="1"/>
    </row>
    <row r="881" ht="15.75" customHeight="1">
      <c r="E881" s="1"/>
      <c r="F881" s="1"/>
    </row>
    <row r="882" ht="15.75" customHeight="1">
      <c r="E882" s="1"/>
      <c r="F882" s="1"/>
    </row>
    <row r="883" ht="15.75" customHeight="1">
      <c r="E883" s="1"/>
      <c r="F883" s="1"/>
    </row>
    <row r="884" ht="15.75" customHeight="1">
      <c r="E884" s="1"/>
      <c r="F884" s="1"/>
    </row>
    <row r="885" ht="15.75" customHeight="1">
      <c r="E885" s="1"/>
      <c r="F885" s="1"/>
    </row>
    <row r="886" ht="15.75" customHeight="1">
      <c r="E886" s="1"/>
      <c r="F886" s="1"/>
    </row>
    <row r="887" ht="15.75" customHeight="1">
      <c r="E887" s="1"/>
      <c r="F887" s="1"/>
    </row>
    <row r="888" ht="15.75" customHeight="1">
      <c r="E888" s="1"/>
      <c r="F888" s="1"/>
    </row>
    <row r="889" ht="15.75" customHeight="1">
      <c r="E889" s="1"/>
      <c r="F889" s="1"/>
    </row>
    <row r="890" ht="15.75" customHeight="1">
      <c r="E890" s="1"/>
      <c r="F890" s="1"/>
    </row>
    <row r="891" ht="15.75" customHeight="1">
      <c r="E891" s="1"/>
      <c r="F891" s="1"/>
    </row>
    <row r="892" ht="15.75" customHeight="1">
      <c r="E892" s="1"/>
      <c r="F892" s="1"/>
    </row>
    <row r="893" ht="15.75" customHeight="1">
      <c r="E893" s="1"/>
      <c r="F893" s="1"/>
    </row>
    <row r="894" ht="15.75" customHeight="1">
      <c r="E894" s="1"/>
      <c r="F894" s="1"/>
    </row>
    <row r="895" ht="15.75" customHeight="1">
      <c r="E895" s="1"/>
      <c r="F895" s="1"/>
    </row>
    <row r="896" ht="15.75" customHeight="1">
      <c r="E896" s="1"/>
      <c r="F896" s="1"/>
    </row>
    <row r="897" ht="15.75" customHeight="1">
      <c r="E897" s="1"/>
      <c r="F897" s="1"/>
    </row>
    <row r="898" ht="15.75" customHeight="1">
      <c r="E898" s="1"/>
      <c r="F898" s="1"/>
    </row>
    <row r="899" ht="15.75" customHeight="1">
      <c r="E899" s="1"/>
      <c r="F899" s="1"/>
    </row>
    <row r="900" ht="15.75" customHeight="1">
      <c r="E900" s="1"/>
      <c r="F900" s="1"/>
    </row>
    <row r="901" ht="15.75" customHeight="1">
      <c r="E901" s="1"/>
      <c r="F901" s="1"/>
    </row>
    <row r="902" ht="15.75" customHeight="1">
      <c r="E902" s="1"/>
      <c r="F902" s="1"/>
    </row>
    <row r="903" ht="15.75" customHeight="1">
      <c r="E903" s="1"/>
      <c r="F903" s="1"/>
    </row>
    <row r="904" ht="15.75" customHeight="1">
      <c r="E904" s="1"/>
      <c r="F904" s="1"/>
    </row>
    <row r="905" ht="15.75" customHeight="1">
      <c r="E905" s="1"/>
      <c r="F905" s="1"/>
    </row>
    <row r="906" ht="15.75" customHeight="1">
      <c r="E906" s="1"/>
      <c r="F906" s="1"/>
    </row>
    <row r="907" ht="15.75" customHeight="1">
      <c r="E907" s="1"/>
      <c r="F907" s="1"/>
    </row>
    <row r="908" ht="15.75" customHeight="1">
      <c r="E908" s="1"/>
      <c r="F908" s="1"/>
    </row>
    <row r="909" ht="15.75" customHeight="1">
      <c r="E909" s="1"/>
      <c r="F909" s="1"/>
    </row>
    <row r="910" ht="15.75" customHeight="1">
      <c r="E910" s="1"/>
      <c r="F910" s="1"/>
    </row>
    <row r="911" ht="15.75" customHeight="1">
      <c r="E911" s="1"/>
      <c r="F911" s="1"/>
    </row>
    <row r="912" ht="15.75" customHeight="1">
      <c r="E912" s="1"/>
      <c r="F912" s="1"/>
    </row>
    <row r="913" ht="15.75" customHeight="1">
      <c r="E913" s="1"/>
      <c r="F913" s="1"/>
    </row>
    <row r="914" ht="15.75" customHeight="1">
      <c r="E914" s="1"/>
      <c r="F914" s="1"/>
    </row>
    <row r="915" ht="15.75" customHeight="1">
      <c r="E915" s="1"/>
      <c r="F915" s="1"/>
    </row>
    <row r="916" ht="15.75" customHeight="1">
      <c r="E916" s="1"/>
      <c r="F916" s="1"/>
    </row>
    <row r="917" ht="15.75" customHeight="1">
      <c r="E917" s="1"/>
      <c r="F917" s="1"/>
    </row>
    <row r="918" ht="15.75" customHeight="1">
      <c r="E918" s="1"/>
      <c r="F918" s="1"/>
    </row>
    <row r="919" ht="15.75" customHeight="1">
      <c r="E919" s="1"/>
      <c r="F919" s="1"/>
    </row>
    <row r="920" ht="15.75" customHeight="1">
      <c r="E920" s="1"/>
      <c r="F920" s="1"/>
    </row>
    <row r="921" ht="15.75" customHeight="1">
      <c r="E921" s="1"/>
      <c r="F921" s="1"/>
    </row>
    <row r="922" ht="15.75" customHeight="1">
      <c r="E922" s="1"/>
      <c r="F922" s="1"/>
    </row>
    <row r="923" ht="15.75" customHeight="1">
      <c r="E923" s="1"/>
      <c r="F923" s="1"/>
    </row>
    <row r="924" ht="15.75" customHeight="1">
      <c r="E924" s="1"/>
      <c r="F924" s="1"/>
    </row>
    <row r="925" ht="15.75" customHeight="1">
      <c r="E925" s="1"/>
      <c r="F925" s="1"/>
    </row>
    <row r="926" ht="15.75" customHeight="1">
      <c r="E926" s="1"/>
      <c r="F926" s="1"/>
    </row>
    <row r="927" ht="15.75" customHeight="1">
      <c r="E927" s="1"/>
      <c r="F927" s="1"/>
    </row>
    <row r="928" ht="15.75" customHeight="1">
      <c r="E928" s="1"/>
      <c r="F928" s="1"/>
    </row>
    <row r="929" ht="15.75" customHeight="1">
      <c r="E929" s="1"/>
      <c r="F929" s="1"/>
    </row>
    <row r="930" ht="15.75" customHeight="1">
      <c r="E930" s="1"/>
      <c r="F930" s="1"/>
    </row>
    <row r="931" ht="15.75" customHeight="1">
      <c r="E931" s="1"/>
      <c r="F931" s="1"/>
    </row>
    <row r="932" ht="15.75" customHeight="1">
      <c r="E932" s="1"/>
      <c r="F932" s="1"/>
    </row>
    <row r="933" ht="15.75" customHeight="1">
      <c r="E933" s="1"/>
      <c r="F933" s="1"/>
    </row>
    <row r="934" ht="15.75" customHeight="1">
      <c r="E934" s="1"/>
      <c r="F934" s="1"/>
    </row>
    <row r="935" ht="15.75" customHeight="1">
      <c r="E935" s="1"/>
      <c r="F935" s="1"/>
    </row>
    <row r="936" ht="15.75" customHeight="1">
      <c r="E936" s="1"/>
      <c r="F936" s="1"/>
    </row>
    <row r="937" ht="15.75" customHeight="1">
      <c r="E937" s="1"/>
      <c r="F937" s="1"/>
    </row>
    <row r="938" ht="15.75" customHeight="1">
      <c r="E938" s="1"/>
      <c r="F938" s="1"/>
    </row>
    <row r="939" ht="15.75" customHeight="1">
      <c r="E939" s="1"/>
      <c r="F939" s="1"/>
    </row>
    <row r="940" ht="15.75" customHeight="1">
      <c r="E940" s="1"/>
      <c r="F940" s="1"/>
    </row>
    <row r="941" ht="15.75" customHeight="1">
      <c r="E941" s="1"/>
      <c r="F941" s="1"/>
    </row>
    <row r="942" ht="15.75" customHeight="1">
      <c r="E942" s="1"/>
      <c r="F942" s="1"/>
    </row>
    <row r="943" ht="15.75" customHeight="1">
      <c r="E943" s="1"/>
      <c r="F943" s="1"/>
    </row>
    <row r="944" ht="15.75" customHeight="1">
      <c r="E944" s="1"/>
      <c r="F944" s="1"/>
    </row>
    <row r="945" ht="15.75" customHeight="1">
      <c r="E945" s="1"/>
      <c r="F945" s="1"/>
    </row>
    <row r="946" ht="15.75" customHeight="1">
      <c r="E946" s="1"/>
      <c r="F946" s="1"/>
    </row>
    <row r="947" ht="15.75" customHeight="1">
      <c r="E947" s="1"/>
      <c r="F947" s="1"/>
    </row>
    <row r="948" ht="15.75" customHeight="1">
      <c r="E948" s="1"/>
      <c r="F948" s="1"/>
    </row>
    <row r="949" ht="15.75" customHeight="1">
      <c r="E949" s="1"/>
      <c r="F949" s="1"/>
    </row>
    <row r="950" ht="15.75" customHeight="1">
      <c r="E950" s="1"/>
      <c r="F950" s="1"/>
    </row>
    <row r="951" ht="15.75" customHeight="1">
      <c r="E951" s="1"/>
      <c r="F951" s="1"/>
    </row>
    <row r="952" ht="15.75" customHeight="1">
      <c r="E952" s="1"/>
      <c r="F952" s="1"/>
    </row>
    <row r="953" ht="15.75" customHeight="1">
      <c r="E953" s="1"/>
      <c r="F953" s="1"/>
    </row>
    <row r="954" ht="15.75" customHeight="1">
      <c r="E954" s="1"/>
      <c r="F954" s="1"/>
    </row>
    <row r="955" ht="15.75" customHeight="1">
      <c r="E955" s="1"/>
      <c r="F955" s="1"/>
    </row>
    <row r="956" ht="15.75" customHeight="1">
      <c r="E956" s="1"/>
      <c r="F956" s="1"/>
    </row>
    <row r="957" ht="15.75" customHeight="1">
      <c r="E957" s="1"/>
      <c r="F957" s="1"/>
    </row>
    <row r="958" ht="15.75" customHeight="1">
      <c r="E958" s="1"/>
      <c r="F958" s="1"/>
    </row>
    <row r="959" ht="15.75" customHeight="1">
      <c r="E959" s="1"/>
      <c r="F959" s="1"/>
    </row>
    <row r="960" ht="15.75" customHeight="1">
      <c r="E960" s="1"/>
      <c r="F960" s="1"/>
    </row>
    <row r="961" ht="15.75" customHeight="1">
      <c r="E961" s="1"/>
      <c r="F961" s="1"/>
    </row>
    <row r="962" ht="15.75" customHeight="1">
      <c r="E962" s="1"/>
      <c r="F962" s="1"/>
    </row>
    <row r="963" ht="15.75" customHeight="1">
      <c r="E963" s="1"/>
      <c r="F963" s="1"/>
    </row>
    <row r="964" ht="15.75" customHeight="1">
      <c r="E964" s="1"/>
      <c r="F964" s="1"/>
    </row>
    <row r="965" ht="15.75" customHeight="1">
      <c r="E965" s="1"/>
      <c r="F965" s="1"/>
    </row>
    <row r="966" ht="15.75" customHeight="1">
      <c r="E966" s="1"/>
      <c r="F966" s="1"/>
    </row>
    <row r="967" ht="15.75" customHeight="1">
      <c r="E967" s="1"/>
      <c r="F967" s="1"/>
    </row>
    <row r="968" ht="15.75" customHeight="1">
      <c r="E968" s="1"/>
      <c r="F968" s="1"/>
    </row>
    <row r="969" ht="15.75" customHeight="1">
      <c r="E969" s="1"/>
      <c r="F969" s="1"/>
    </row>
    <row r="970" ht="15.75" customHeight="1">
      <c r="E970" s="1"/>
      <c r="F970" s="1"/>
    </row>
    <row r="971" ht="15.75" customHeight="1">
      <c r="E971" s="1"/>
      <c r="F971" s="1"/>
    </row>
    <row r="972" ht="15.75" customHeight="1">
      <c r="E972" s="1"/>
      <c r="F972" s="1"/>
    </row>
    <row r="973" ht="15.75" customHeight="1">
      <c r="E973" s="1"/>
      <c r="F973" s="1"/>
    </row>
    <row r="974" ht="15.75" customHeight="1">
      <c r="E974" s="1"/>
      <c r="F974" s="1"/>
    </row>
    <row r="975" ht="15.75" customHeight="1">
      <c r="E975" s="1"/>
      <c r="F975" s="1"/>
    </row>
    <row r="976" ht="15.75" customHeight="1">
      <c r="E976" s="1"/>
      <c r="F976" s="1"/>
    </row>
    <row r="977" ht="15.75" customHeight="1">
      <c r="E977" s="1"/>
      <c r="F977" s="1"/>
    </row>
    <row r="978" ht="15.75" customHeight="1">
      <c r="E978" s="1"/>
      <c r="F978" s="1"/>
    </row>
    <row r="979" ht="15.75" customHeight="1">
      <c r="E979" s="1"/>
      <c r="F979" s="1"/>
    </row>
    <row r="980" ht="15.75" customHeight="1">
      <c r="E980" s="1"/>
      <c r="F980" s="1"/>
    </row>
    <row r="981" ht="15.75" customHeight="1">
      <c r="E981" s="1"/>
      <c r="F981" s="1"/>
    </row>
    <row r="982" ht="15.75" customHeight="1">
      <c r="E982" s="1"/>
      <c r="F982" s="1"/>
    </row>
    <row r="983" ht="15.75" customHeight="1">
      <c r="E983" s="1"/>
      <c r="F983" s="1"/>
    </row>
    <row r="984" ht="15.75" customHeight="1">
      <c r="E984" s="1"/>
      <c r="F984" s="1"/>
    </row>
    <row r="985" ht="15.75" customHeight="1">
      <c r="E985" s="1"/>
      <c r="F985" s="1"/>
    </row>
    <row r="986" ht="15.75" customHeight="1">
      <c r="E986" s="1"/>
      <c r="F986" s="1"/>
    </row>
    <row r="987" ht="15.75" customHeight="1">
      <c r="E987" s="1"/>
      <c r="F987" s="1"/>
    </row>
    <row r="988" ht="15.75" customHeight="1">
      <c r="E988" s="1"/>
      <c r="F988" s="1"/>
    </row>
    <row r="989" ht="15.75" customHeight="1">
      <c r="E989" s="1"/>
      <c r="F989" s="1"/>
    </row>
    <row r="990" ht="15.75" customHeight="1">
      <c r="E990" s="1"/>
      <c r="F990" s="1"/>
    </row>
    <row r="991" ht="15.75" customHeight="1">
      <c r="E991" s="1"/>
      <c r="F991" s="1"/>
    </row>
    <row r="992" ht="15.75" customHeight="1">
      <c r="E992" s="1"/>
      <c r="F992" s="1"/>
    </row>
    <row r="993" ht="15.75" customHeight="1">
      <c r="E993" s="1"/>
      <c r="F993" s="1"/>
    </row>
    <row r="994" ht="15.75" customHeight="1">
      <c r="E994" s="1"/>
      <c r="F994" s="1"/>
    </row>
    <row r="995" ht="15.75" customHeight="1">
      <c r="E995" s="1"/>
      <c r="F995" s="1"/>
    </row>
    <row r="996" ht="15.75" customHeight="1">
      <c r="E996" s="1"/>
      <c r="F996" s="1"/>
    </row>
    <row r="997" ht="15.75" customHeight="1">
      <c r="E997" s="1"/>
      <c r="F997" s="1"/>
    </row>
    <row r="998" ht="15.75" customHeight="1">
      <c r="E998" s="1"/>
      <c r="F998" s="1"/>
    </row>
    <row r="999" ht="15.75" customHeight="1">
      <c r="E999" s="1"/>
      <c r="F999" s="1"/>
    </row>
    <row r="1000" ht="15.75" customHeight="1">
      <c r="E1000" s="1"/>
      <c r="F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61" width="4.14"/>
    <col customWidth="1" min="62" max="62" width="14.0"/>
    <col customWidth="1" min="63" max="68" width="15.0"/>
    <col customWidth="1" min="69" max="69" width="16.0"/>
  </cols>
  <sheetData>
    <row r="1">
      <c r="A1" s="2" t="s">
        <v>0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23</v>
      </c>
      <c r="T1" s="4" t="s">
        <v>24</v>
      </c>
      <c r="U1" s="4" t="s">
        <v>26</v>
      </c>
      <c r="V1" s="4" t="s">
        <v>27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55</v>
      </c>
      <c r="AV1" s="4" t="s">
        <v>56</v>
      </c>
      <c r="AW1" s="4" t="s">
        <v>57</v>
      </c>
      <c r="AX1" s="4" t="s">
        <v>59</v>
      </c>
      <c r="AY1" s="4" t="s">
        <v>60</v>
      </c>
      <c r="AZ1" s="4" t="s">
        <v>61</v>
      </c>
      <c r="BA1" s="4" t="s">
        <v>63</v>
      </c>
      <c r="BB1" s="4" t="s">
        <v>64</v>
      </c>
      <c r="BC1" s="4" t="s">
        <v>66</v>
      </c>
      <c r="BD1" s="4" t="s">
        <v>67</v>
      </c>
      <c r="BE1" s="4" t="s">
        <v>69</v>
      </c>
      <c r="BF1" s="4" t="s">
        <v>71</v>
      </c>
      <c r="BG1" s="4" t="s">
        <v>73</v>
      </c>
      <c r="BH1" s="4" t="s">
        <v>75</v>
      </c>
      <c r="BI1" s="4" t="s">
        <v>78</v>
      </c>
      <c r="BJ1" s="7" t="s">
        <v>81</v>
      </c>
      <c r="BK1" s="7" t="s">
        <v>82</v>
      </c>
      <c r="BL1" s="7" t="s">
        <v>83</v>
      </c>
      <c r="BM1" s="7" t="s">
        <v>85</v>
      </c>
      <c r="BN1" s="7" t="s">
        <v>86</v>
      </c>
      <c r="BO1" s="7" t="s">
        <v>87</v>
      </c>
      <c r="BP1" s="7" t="s">
        <v>88</v>
      </c>
      <c r="BQ1" s="16" t="s">
        <v>89</v>
      </c>
    </row>
    <row r="2">
      <c r="A2" s="18" t="s">
        <v>90</v>
      </c>
      <c r="B2" s="19">
        <v>201.0</v>
      </c>
      <c r="C2" s="19">
        <v>235.0</v>
      </c>
      <c r="D2" s="19">
        <v>222.0</v>
      </c>
      <c r="E2" s="19">
        <v>237.0</v>
      </c>
      <c r="F2" s="19">
        <v>252.0</v>
      </c>
      <c r="G2" s="19">
        <v>234.0</v>
      </c>
      <c r="H2" s="19">
        <v>235.0</v>
      </c>
      <c r="I2" s="19">
        <v>217.0</v>
      </c>
      <c r="J2" s="19">
        <v>229.0</v>
      </c>
      <c r="K2" s="19">
        <v>242.0</v>
      </c>
      <c r="L2" s="19">
        <v>254.0</v>
      </c>
      <c r="M2" s="19">
        <v>263.0</v>
      </c>
      <c r="N2" s="19">
        <v>244.0</v>
      </c>
      <c r="O2" s="19">
        <v>231.0</v>
      </c>
      <c r="P2" s="19">
        <v>245.0</v>
      </c>
      <c r="Q2" s="19">
        <v>279.0</v>
      </c>
      <c r="R2" s="19">
        <v>246.0</v>
      </c>
      <c r="S2" s="19">
        <v>261.0</v>
      </c>
      <c r="T2" s="19">
        <v>290.0</v>
      </c>
      <c r="U2" s="19">
        <v>244.0</v>
      </c>
      <c r="V2" s="19">
        <v>278.0</v>
      </c>
      <c r="W2" s="19">
        <v>300.0</v>
      </c>
      <c r="X2" s="19">
        <v>263.0</v>
      </c>
      <c r="Y2" s="19">
        <v>284.0</v>
      </c>
      <c r="Z2" s="19">
        <v>308.0</v>
      </c>
      <c r="AA2" s="19">
        <v>266.0</v>
      </c>
      <c r="AB2" s="19">
        <v>292.0</v>
      </c>
      <c r="AC2" s="19">
        <v>308.0</v>
      </c>
      <c r="AD2" s="19">
        <v>307.0</v>
      </c>
      <c r="AE2" s="19">
        <v>298.0</v>
      </c>
      <c r="AF2" s="19">
        <v>285.0</v>
      </c>
      <c r="AG2" s="19">
        <v>306.0</v>
      </c>
      <c r="AH2" s="19">
        <v>302.0</v>
      </c>
      <c r="AI2" s="19">
        <v>312.0</v>
      </c>
      <c r="AJ2" s="19">
        <v>308.0</v>
      </c>
      <c r="AK2" s="19">
        <v>342.0</v>
      </c>
      <c r="AL2" s="19">
        <v>341.0</v>
      </c>
      <c r="AM2" s="19">
        <v>315.0</v>
      </c>
      <c r="AN2" s="19">
        <v>335.0</v>
      </c>
      <c r="AO2" s="19">
        <v>319.0</v>
      </c>
      <c r="AP2" s="19">
        <v>334.0</v>
      </c>
      <c r="AQ2" s="19">
        <v>331.0</v>
      </c>
      <c r="AR2" s="19">
        <v>356.0</v>
      </c>
      <c r="AS2" s="19">
        <v>339.0</v>
      </c>
      <c r="AT2" s="19">
        <v>349.0</v>
      </c>
      <c r="AU2" s="19">
        <v>372.0</v>
      </c>
      <c r="AV2" s="19">
        <v>354.0</v>
      </c>
      <c r="AW2" s="19">
        <v>393.0</v>
      </c>
      <c r="AX2" s="19">
        <v>344.0</v>
      </c>
      <c r="AY2" s="19">
        <v>390.0</v>
      </c>
      <c r="AZ2" s="19">
        <v>370.0</v>
      </c>
      <c r="BA2" s="19">
        <v>374.0</v>
      </c>
      <c r="BB2" s="19">
        <v>394.0</v>
      </c>
      <c r="BC2" s="19">
        <v>390.0</v>
      </c>
      <c r="BD2" s="19">
        <v>385.0</v>
      </c>
      <c r="BE2" s="19">
        <v>357.0</v>
      </c>
      <c r="BF2" s="19">
        <v>368.0</v>
      </c>
      <c r="BG2" s="19">
        <v>422.0</v>
      </c>
      <c r="BH2" s="19">
        <v>411.0</v>
      </c>
      <c r="BI2" s="19">
        <v>430.0</v>
      </c>
      <c r="BJ2" s="27">
        <f t="shared" ref="BJ2:BJ4" si="1">ROUND(AVERAGE(BC2:BI2),0)</f>
        <v>395</v>
      </c>
      <c r="BK2" s="29">
        <f t="shared" ref="BK2:BK4" si="2">(BI2-AVERAGE(AV2:BB2))/AVERAGE(AV2:BB2)</f>
        <v>0.1492936235</v>
      </c>
      <c r="BL2" s="29">
        <f t="shared" ref="BL2:BL4" si="3">(AVERAGE(AH2:BI2)-AVERAGE(F2:AG2))/AVERAGE(F2:AG2)</f>
        <v>0.3452620292</v>
      </c>
      <c r="BM2" s="29">
        <f t="shared" ref="BM2:BM4" si="4">(AVERAGE(AH2:BI2)-BQ2)/BQ2</f>
        <v>0.991468254</v>
      </c>
      <c r="BN2" s="30" t="str">
        <f>IF(BL2&gt;=NGUONG_HUONG,"Lên",IF(BL2&lt;=-NGUONG_HUONG,"Xuống","Đi ngang"))</f>
        <v>Lên</v>
      </c>
      <c r="BO2" s="30" t="str">
        <f>IF(BJ1&lt;MIN_LUOT,"— bỏ (quá nhỏ)",IF(AND(BK1&gt;=NGUONG_SPIKE),"Mới nổi",IF(BL1&gt;=NGUONG_HOT,"Hot",IF(BL1&gt;=NGUONG_HUONG,"Đang lên","— bỏ (đứng im)"))))</f>
        <v>Mới nổi</v>
      </c>
      <c r="BP2" s="30" t="str">
        <f>IF(AND(BL2&gt;=NGUONG_HOT,BM2&gt;0),"HOT (sóng thật)",IF(OR(BL2&gt;=NGUONG_HOT,BK2&gt;=NGUONG_SPIKE),"Ấm","—"))</f>
        <v>HOT (sóng thật)</v>
      </c>
      <c r="BQ2" s="31">
        <v>180.0</v>
      </c>
    </row>
    <row r="3">
      <c r="A3" s="18" t="s">
        <v>116</v>
      </c>
      <c r="B3" s="19">
        <v>100.0</v>
      </c>
      <c r="C3" s="19">
        <v>94.0</v>
      </c>
      <c r="D3" s="19">
        <v>81.0</v>
      </c>
      <c r="E3" s="19">
        <v>87.0</v>
      </c>
      <c r="F3" s="19">
        <v>93.0</v>
      </c>
      <c r="G3" s="19">
        <v>86.0</v>
      </c>
      <c r="H3" s="19">
        <v>102.0</v>
      </c>
      <c r="I3" s="19">
        <v>102.0</v>
      </c>
      <c r="J3" s="19">
        <v>100.0</v>
      </c>
      <c r="K3" s="19">
        <v>92.0</v>
      </c>
      <c r="L3" s="19">
        <v>100.0</v>
      </c>
      <c r="M3" s="19">
        <v>85.0</v>
      </c>
      <c r="N3" s="19">
        <v>89.0</v>
      </c>
      <c r="O3" s="19">
        <v>93.0</v>
      </c>
      <c r="P3" s="19">
        <v>99.0</v>
      </c>
      <c r="Q3" s="19">
        <v>94.0</v>
      </c>
      <c r="R3" s="19">
        <v>86.0</v>
      </c>
      <c r="S3" s="19">
        <v>91.0</v>
      </c>
      <c r="T3" s="19">
        <v>91.0</v>
      </c>
      <c r="U3" s="19">
        <v>91.0</v>
      </c>
      <c r="V3" s="19">
        <v>88.0</v>
      </c>
      <c r="W3" s="19">
        <v>94.0</v>
      </c>
      <c r="X3" s="19">
        <v>95.0</v>
      </c>
      <c r="Y3" s="19">
        <v>103.0</v>
      </c>
      <c r="Z3" s="19">
        <v>104.0</v>
      </c>
      <c r="AA3" s="19">
        <v>98.0</v>
      </c>
      <c r="AB3" s="19">
        <v>96.0</v>
      </c>
      <c r="AC3" s="19">
        <v>104.0</v>
      </c>
      <c r="AD3" s="19">
        <v>107.0</v>
      </c>
      <c r="AE3" s="19">
        <v>102.0</v>
      </c>
      <c r="AF3" s="19">
        <v>106.0</v>
      </c>
      <c r="AG3" s="19">
        <v>109.0</v>
      </c>
      <c r="AH3" s="19">
        <v>88.0</v>
      </c>
      <c r="AI3" s="19">
        <v>108.0</v>
      </c>
      <c r="AJ3" s="19">
        <v>94.0</v>
      </c>
      <c r="AK3" s="19">
        <v>100.0</v>
      </c>
      <c r="AL3" s="19">
        <v>108.0</v>
      </c>
      <c r="AM3" s="19">
        <v>106.0</v>
      </c>
      <c r="AN3" s="19">
        <v>92.0</v>
      </c>
      <c r="AO3" s="19">
        <v>105.0</v>
      </c>
      <c r="AP3" s="19">
        <v>91.0</v>
      </c>
      <c r="AQ3" s="19">
        <v>98.0</v>
      </c>
      <c r="AR3" s="19">
        <v>110.0</v>
      </c>
      <c r="AS3" s="19">
        <v>101.0</v>
      </c>
      <c r="AT3" s="19">
        <v>105.0</v>
      </c>
      <c r="AU3" s="19">
        <v>109.0</v>
      </c>
      <c r="AV3" s="19">
        <v>111.0</v>
      </c>
      <c r="AW3" s="19">
        <v>110.0</v>
      </c>
      <c r="AX3" s="19">
        <v>92.0</v>
      </c>
      <c r="AY3" s="19">
        <v>102.0</v>
      </c>
      <c r="AZ3" s="19">
        <v>104.0</v>
      </c>
      <c r="BA3" s="19">
        <v>94.0</v>
      </c>
      <c r="BB3" s="19">
        <v>106.0</v>
      </c>
      <c r="BC3" s="19">
        <v>108.0</v>
      </c>
      <c r="BD3" s="19">
        <v>114.0</v>
      </c>
      <c r="BE3" s="19">
        <v>118.0</v>
      </c>
      <c r="BF3" s="19">
        <v>97.0</v>
      </c>
      <c r="BG3" s="19">
        <v>100.0</v>
      </c>
      <c r="BH3" s="19">
        <v>267.0</v>
      </c>
      <c r="BI3" s="19">
        <v>236.0</v>
      </c>
      <c r="BJ3" s="27">
        <f t="shared" si="1"/>
        <v>149</v>
      </c>
      <c r="BK3" s="29">
        <f t="shared" si="2"/>
        <v>1.297635605</v>
      </c>
      <c r="BL3" s="29">
        <f t="shared" si="3"/>
        <v>0.1755555556</v>
      </c>
      <c r="BM3" s="29">
        <f t="shared" si="4"/>
        <v>0.6193877551</v>
      </c>
      <c r="BN3" s="30" t="str">
        <f>IF(BL3&gt;=NGUONG_HUONG,"Lên",IF(BL3&lt;=-NGUONG_HUONG,"Xuống","Đi ngang"))</f>
        <v>Lên</v>
      </c>
      <c r="BO3" s="30" t="str">
        <f>IF(BJ2&lt;MIN_LUOT,"— bỏ (quá nhỏ)",IF(AND(BK2&gt;=NGUONG_SPIKE),"Mới nổi",IF(BL2&gt;=NGUONG_HOT,"Hot",IF(BL2&gt;=NGUONG_HUONG,"Đang lên","— bỏ (đứng im)"))))</f>
        <v>Hot</v>
      </c>
      <c r="BP3" s="30" t="str">
        <f>IF(AND(BL3&gt;=NGUONG_HOT,BM3&gt;0),"HOT (sóng thật)",IF(OR(BL3&gt;=NGUONG_HOT,BK3&gt;=NGUONG_SPIKE),"Ấm","—"))</f>
        <v>Ấm</v>
      </c>
      <c r="BQ3" s="31">
        <v>70.0</v>
      </c>
    </row>
    <row r="4">
      <c r="A4" s="18" t="s">
        <v>117</v>
      </c>
      <c r="B4" s="19">
        <v>287.0</v>
      </c>
      <c r="C4" s="19">
        <v>303.0</v>
      </c>
      <c r="D4" s="19">
        <v>283.0</v>
      </c>
      <c r="E4" s="19">
        <v>311.0</v>
      </c>
      <c r="F4" s="19">
        <v>314.0</v>
      </c>
      <c r="G4" s="19">
        <v>274.0</v>
      </c>
      <c r="H4" s="19">
        <v>297.0</v>
      </c>
      <c r="I4" s="19">
        <v>308.0</v>
      </c>
      <c r="J4" s="19">
        <v>316.0</v>
      </c>
      <c r="K4" s="19">
        <v>282.0</v>
      </c>
      <c r="L4" s="19">
        <v>277.0</v>
      </c>
      <c r="M4" s="19">
        <v>309.0</v>
      </c>
      <c r="N4" s="19">
        <v>309.0</v>
      </c>
      <c r="O4" s="19">
        <v>276.0</v>
      </c>
      <c r="P4" s="19">
        <v>286.0</v>
      </c>
      <c r="Q4" s="19">
        <v>298.0</v>
      </c>
      <c r="R4" s="19">
        <v>303.0</v>
      </c>
      <c r="S4" s="19">
        <v>271.0</v>
      </c>
      <c r="T4" s="19">
        <v>293.0</v>
      </c>
      <c r="U4" s="19">
        <v>299.0</v>
      </c>
      <c r="V4" s="19">
        <v>286.0</v>
      </c>
      <c r="W4" s="19">
        <v>268.0</v>
      </c>
      <c r="X4" s="19">
        <v>262.0</v>
      </c>
      <c r="Y4" s="19">
        <v>272.0</v>
      </c>
      <c r="Z4" s="19">
        <v>295.0</v>
      </c>
      <c r="AA4" s="19">
        <v>260.0</v>
      </c>
      <c r="AB4" s="19">
        <v>258.0</v>
      </c>
      <c r="AC4" s="19">
        <v>273.0</v>
      </c>
      <c r="AD4" s="19">
        <v>259.0</v>
      </c>
      <c r="AE4" s="19">
        <v>262.0</v>
      </c>
      <c r="AF4" s="19">
        <v>255.0</v>
      </c>
      <c r="AG4" s="19">
        <v>277.0</v>
      </c>
      <c r="AH4" s="19">
        <v>284.0</v>
      </c>
      <c r="AI4" s="19">
        <v>271.0</v>
      </c>
      <c r="AJ4" s="19">
        <v>258.0</v>
      </c>
      <c r="AK4" s="19">
        <v>266.0</v>
      </c>
      <c r="AL4" s="19">
        <v>276.0</v>
      </c>
      <c r="AM4" s="19">
        <v>291.0</v>
      </c>
      <c r="AN4" s="19">
        <v>292.0</v>
      </c>
      <c r="AO4" s="19">
        <v>259.0</v>
      </c>
      <c r="AP4" s="19">
        <v>248.0</v>
      </c>
      <c r="AQ4" s="19">
        <v>283.0</v>
      </c>
      <c r="AR4" s="19">
        <v>286.0</v>
      </c>
      <c r="AS4" s="19">
        <v>265.0</v>
      </c>
      <c r="AT4" s="19">
        <v>278.0</v>
      </c>
      <c r="AU4" s="19">
        <v>281.0</v>
      </c>
      <c r="AV4" s="19">
        <v>270.0</v>
      </c>
      <c r="AW4" s="19">
        <v>280.0</v>
      </c>
      <c r="AX4" s="19">
        <v>243.0</v>
      </c>
      <c r="AY4" s="19">
        <v>253.0</v>
      </c>
      <c r="AZ4" s="19">
        <v>253.0</v>
      </c>
      <c r="BA4" s="19">
        <v>245.0</v>
      </c>
      <c r="BB4" s="19">
        <v>278.0</v>
      </c>
      <c r="BC4" s="19">
        <v>240.0</v>
      </c>
      <c r="BD4" s="19">
        <v>266.0</v>
      </c>
      <c r="BE4" s="19">
        <v>241.0</v>
      </c>
      <c r="BF4" s="19">
        <v>252.0</v>
      </c>
      <c r="BG4" s="19">
        <v>254.0</v>
      </c>
      <c r="BH4" s="19">
        <v>243.0</v>
      </c>
      <c r="BI4" s="19">
        <v>257.0</v>
      </c>
      <c r="BJ4" s="27">
        <f t="shared" si="1"/>
        <v>250</v>
      </c>
      <c r="BK4" s="29">
        <f t="shared" si="2"/>
        <v>-0.01262349067</v>
      </c>
      <c r="BL4" s="29">
        <f t="shared" si="3"/>
        <v>-0.06625519587</v>
      </c>
      <c r="BM4" s="29">
        <f t="shared" si="4"/>
        <v>-0.2213235294</v>
      </c>
      <c r="BN4" s="30" t="str">
        <f>IF(BL4&gt;=NGUONG_HUONG,"Lên",IF(BL4&lt;=-NGUONG_HUONG,"Xuống","Đi ngang"))</f>
        <v>Đi ngang</v>
      </c>
      <c r="BO4" s="30" t="str">
        <f>IF(BJ4&lt;MIN_LUOT,"— bỏ (quá nhỏ)",IF(AND(BK4&gt;=NGUONG_SPIKE),"Mới nổi",IF(BL4&gt;=NGUONG_HOT,"Hot",IF(BL4&gt;=NGUONG_HUONG,"Đang lên","— bỏ (đứng im)"))))</f>
        <v>— bỏ (đứng im)</v>
      </c>
      <c r="BP4" s="30" t="str">
        <f>IF(AND(BL4&gt;=NGUONG_HOT,BM4&gt;0),"HOT (sóng thật)",IF(OR(BL4&gt;=NGUONG_HOT,BK4&gt;=NGUONG_SPIKE),"Ấm","—"))</f>
        <v>—</v>
      </c>
      <c r="BQ4" s="31">
        <v>340.0</v>
      </c>
    </row>
    <row r="6">
      <c r="A6" s="5" t="s">
        <v>118</v>
      </c>
    </row>
    <row r="7">
      <c r="A7" s="5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